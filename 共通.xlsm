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D:\svnlocal\xcd\Xcd_doc\truck\V1.0\02 DesignDoc\10 初始数据\"/>
    </mc:Choice>
  </mc:AlternateContent>
  <bookViews>
    <workbookView xWindow="0" yWindow="0" windowWidth="20700" windowHeight="11760" tabRatio="852" activeTab="1"/>
  </bookViews>
  <sheets>
    <sheet name="init" sheetId="1" r:id="rId1"/>
    <sheet name="常量定义表" sheetId="20" r:id="rId2"/>
    <sheet name="COMM_CONFIG(开发)" sheetId="21" r:id="rId3"/>
    <sheet name="COMM_CONFIG(测试)" sheetId="22" r:id="rId4"/>
    <sheet name="COMM_CONFIG(UAT)" sheetId="23" r:id="rId5"/>
    <sheet name="COMM_CONFIG(正式)" sheetId="24" r:id="rId6"/>
    <sheet name="Batch定义" sheetId="25" r:id="rId7"/>
    <sheet name="COMM_CONFIG(上海开发)" sheetId="26" r:id="rId8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4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7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5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Area" localSheetId="1">常量定义表!$A$1:$J$600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309" i="20" l="1"/>
  <c r="K310" i="20"/>
  <c r="B309" i="20"/>
  <c r="B310" i="20"/>
  <c r="B286" i="20" l="1"/>
  <c r="K286" i="20" s="1"/>
  <c r="B590" i="20"/>
  <c r="K590" i="20" s="1"/>
  <c r="H60" i="26" l="1"/>
  <c r="H59" i="26"/>
  <c r="H58" i="26"/>
  <c r="H57" i="26"/>
  <c r="H56" i="26"/>
  <c r="H55" i="26"/>
  <c r="H54" i="26"/>
  <c r="H53" i="26"/>
  <c r="H52" i="26"/>
  <c r="H60" i="24"/>
  <c r="H59" i="24"/>
  <c r="H58" i="24"/>
  <c r="H57" i="24"/>
  <c r="H56" i="24"/>
  <c r="H55" i="24"/>
  <c r="H54" i="24"/>
  <c r="H53" i="24"/>
  <c r="H52" i="24"/>
  <c r="H60" i="23"/>
  <c r="H59" i="23"/>
  <c r="H58" i="23"/>
  <c r="H57" i="23"/>
  <c r="H56" i="23"/>
  <c r="H55" i="23"/>
  <c r="H54" i="23"/>
  <c r="H53" i="23"/>
  <c r="H52" i="23"/>
  <c r="H60" i="22"/>
  <c r="H59" i="22"/>
  <c r="H58" i="22"/>
  <c r="H57" i="22"/>
  <c r="H56" i="22"/>
  <c r="H55" i="22"/>
  <c r="H54" i="22"/>
  <c r="H53" i="22"/>
  <c r="H52" i="22"/>
  <c r="H52" i="21"/>
  <c r="H53" i="21"/>
  <c r="H54" i="21"/>
  <c r="H55" i="21"/>
  <c r="H56" i="21"/>
  <c r="H57" i="21"/>
  <c r="H58" i="21"/>
  <c r="H59" i="21"/>
  <c r="H60" i="21"/>
  <c r="B222" i="20" l="1"/>
  <c r="K222" i="20" s="1"/>
  <c r="B213" i="20"/>
  <c r="K213" i="20" s="1"/>
  <c r="B540" i="20" l="1"/>
  <c r="K540" i="20" s="1"/>
  <c r="B541" i="20"/>
  <c r="K541" i="20" s="1"/>
  <c r="B542" i="20"/>
  <c r="K542" i="20" s="1"/>
  <c r="H51" i="26" l="1"/>
  <c r="H50" i="26"/>
  <c r="H49" i="26"/>
  <c r="H48" i="26"/>
  <c r="H47" i="26"/>
  <c r="H46" i="26"/>
  <c r="H45" i="26"/>
  <c r="H44" i="26"/>
  <c r="H43" i="26"/>
  <c r="H42" i="26"/>
  <c r="H41" i="26"/>
  <c r="H40" i="26"/>
  <c r="H39" i="26"/>
  <c r="H38" i="26"/>
  <c r="H37" i="26"/>
  <c r="H36" i="26"/>
  <c r="H35" i="26"/>
  <c r="H34" i="26"/>
  <c r="H33" i="26"/>
  <c r="H32" i="26"/>
  <c r="H31" i="26"/>
  <c r="H30" i="26"/>
  <c r="H29" i="26"/>
  <c r="H28" i="26"/>
  <c r="H27" i="26"/>
  <c r="H26" i="26"/>
  <c r="H25" i="26"/>
  <c r="H21" i="26"/>
  <c r="H20" i="26"/>
  <c r="H19" i="26"/>
  <c r="H18" i="26"/>
  <c r="H17" i="26"/>
  <c r="H16" i="26"/>
  <c r="H15" i="26"/>
  <c r="H14" i="26"/>
  <c r="H13" i="26"/>
  <c r="H12" i="26"/>
  <c r="H11" i="26"/>
  <c r="H10" i="26"/>
  <c r="H9" i="26"/>
  <c r="H8" i="26"/>
  <c r="H7" i="26"/>
  <c r="H6" i="26"/>
  <c r="H5" i="26"/>
  <c r="H28" i="24" l="1"/>
  <c r="H27" i="24"/>
  <c r="H28" i="23"/>
  <c r="H27" i="23"/>
  <c r="H28" i="22"/>
  <c r="H27" i="22"/>
  <c r="H28" i="21"/>
  <c r="H27" i="21"/>
  <c r="B6" i="20"/>
  <c r="K6" i="20"/>
  <c r="B7" i="20"/>
  <c r="K7" i="20" s="1"/>
  <c r="B8" i="20"/>
  <c r="K8" i="20" s="1"/>
  <c r="B9" i="20"/>
  <c r="K9" i="20" s="1"/>
  <c r="B10" i="20"/>
  <c r="K10" i="20" s="1"/>
  <c r="B11" i="20"/>
  <c r="K11" i="20" s="1"/>
  <c r="B12" i="20"/>
  <c r="K12" i="20"/>
  <c r="B13" i="20"/>
  <c r="K13" i="20"/>
  <c r="B14" i="20"/>
  <c r="K14" i="20"/>
  <c r="B15" i="20"/>
  <c r="K15" i="20"/>
  <c r="B16" i="20"/>
  <c r="K16" i="20" s="1"/>
  <c r="B17" i="20"/>
  <c r="K17" i="20" s="1"/>
  <c r="B18" i="20"/>
  <c r="K18" i="20" s="1"/>
  <c r="B19" i="20"/>
  <c r="K19" i="20"/>
  <c r="B20" i="20"/>
  <c r="K20" i="20"/>
  <c r="B21" i="20"/>
  <c r="K21" i="20"/>
  <c r="B22" i="20"/>
  <c r="K22" i="20"/>
  <c r="B23" i="20"/>
  <c r="K23" i="20"/>
  <c r="B24" i="20"/>
  <c r="K24" i="20"/>
  <c r="B25" i="20"/>
  <c r="K25" i="20"/>
  <c r="B26" i="20"/>
  <c r="K26" i="20"/>
  <c r="B27" i="20"/>
  <c r="K27" i="20"/>
  <c r="B28" i="20"/>
  <c r="K28" i="20"/>
  <c r="B29" i="20"/>
  <c r="K29" i="20"/>
  <c r="B30" i="20"/>
  <c r="K30" i="20"/>
  <c r="B31" i="20"/>
  <c r="K31" i="20"/>
  <c r="B32" i="20"/>
  <c r="K32" i="20"/>
  <c r="B33" i="20"/>
  <c r="K33" i="20"/>
  <c r="B34" i="20"/>
  <c r="K34" i="20"/>
  <c r="B35" i="20"/>
  <c r="K35" i="20"/>
  <c r="B36" i="20"/>
  <c r="K36" i="20"/>
  <c r="B37" i="20"/>
  <c r="K37" i="20"/>
  <c r="B38" i="20"/>
  <c r="K38" i="20"/>
  <c r="B39" i="20"/>
  <c r="K39" i="20"/>
  <c r="B40" i="20"/>
  <c r="K40" i="20"/>
  <c r="B41" i="20"/>
  <c r="K41" i="20"/>
  <c r="B42" i="20"/>
  <c r="K42" i="20"/>
  <c r="B43" i="20"/>
  <c r="K43" i="20"/>
  <c r="B44" i="20"/>
  <c r="K44" i="20"/>
  <c r="B45" i="20"/>
  <c r="K45" i="20"/>
  <c r="B46" i="20"/>
  <c r="K46" i="20"/>
  <c r="B47" i="20"/>
  <c r="K47" i="20"/>
  <c r="B48" i="20"/>
  <c r="K48" i="20"/>
  <c r="B49" i="20"/>
  <c r="K49" i="20"/>
  <c r="B50" i="20"/>
  <c r="K50" i="20"/>
  <c r="B51" i="20"/>
  <c r="K51" i="20"/>
  <c r="B52" i="20"/>
  <c r="K52" i="20"/>
  <c r="B53" i="20"/>
  <c r="K53" i="20"/>
  <c r="B54" i="20"/>
  <c r="K54" i="20"/>
  <c r="B55" i="20"/>
  <c r="K55" i="20"/>
  <c r="B56" i="20"/>
  <c r="K56" i="20"/>
  <c r="B57" i="20"/>
  <c r="K57" i="20"/>
  <c r="B58" i="20"/>
  <c r="K58" i="20"/>
  <c r="B59" i="20"/>
  <c r="K59" i="20"/>
  <c r="B60" i="20"/>
  <c r="K60" i="20"/>
  <c r="B61" i="20"/>
  <c r="K61" i="20"/>
  <c r="B62" i="20"/>
  <c r="K62" i="20"/>
  <c r="B63" i="20"/>
  <c r="K63" i="20"/>
  <c r="B64" i="20"/>
  <c r="K64" i="20"/>
  <c r="B65" i="20"/>
  <c r="K65" i="20"/>
  <c r="B66" i="20"/>
  <c r="K66" i="20"/>
  <c r="B67" i="20"/>
  <c r="K67" i="20"/>
  <c r="B68" i="20"/>
  <c r="K68" i="20"/>
  <c r="B69" i="20"/>
  <c r="K69" i="20"/>
  <c r="B70" i="20"/>
  <c r="K70" i="20"/>
  <c r="B71" i="20"/>
  <c r="K71" i="20"/>
  <c r="B72" i="20"/>
  <c r="K72" i="20"/>
  <c r="B73" i="20"/>
  <c r="K73" i="20"/>
  <c r="B74" i="20"/>
  <c r="K74" i="20"/>
  <c r="B75" i="20"/>
  <c r="K75" i="20"/>
  <c r="B76" i="20"/>
  <c r="K76" i="20"/>
  <c r="B77" i="20"/>
  <c r="K77" i="20"/>
  <c r="B78" i="20"/>
  <c r="K78" i="20"/>
  <c r="B79" i="20"/>
  <c r="K79" i="20"/>
  <c r="B80" i="20"/>
  <c r="K80" i="20"/>
  <c r="B81" i="20"/>
  <c r="K81" i="20"/>
  <c r="B82" i="20"/>
  <c r="K82" i="20"/>
  <c r="B83" i="20"/>
  <c r="K83" i="20"/>
  <c r="B84" i="20"/>
  <c r="K84" i="20"/>
  <c r="B85" i="20"/>
  <c r="K85" i="20"/>
  <c r="B86" i="20"/>
  <c r="K86" i="20"/>
  <c r="B87" i="20"/>
  <c r="K87" i="20"/>
  <c r="B88" i="20"/>
  <c r="K88" i="20"/>
  <c r="B89" i="20"/>
  <c r="K89" i="20"/>
  <c r="B90" i="20"/>
  <c r="K90" i="20"/>
  <c r="B91" i="20"/>
  <c r="K91" i="20"/>
  <c r="B92" i="20"/>
  <c r="K92" i="20"/>
  <c r="B93" i="20"/>
  <c r="K93" i="20"/>
  <c r="B94" i="20"/>
  <c r="K94" i="20"/>
  <c r="B95" i="20"/>
  <c r="K95" i="20"/>
  <c r="B96" i="20"/>
  <c r="K96" i="20"/>
  <c r="B97" i="20"/>
  <c r="K97" i="20"/>
  <c r="B98" i="20"/>
  <c r="K98" i="20"/>
  <c r="B99" i="20"/>
  <c r="K99" i="20"/>
  <c r="B100" i="20"/>
  <c r="K100" i="20"/>
  <c r="B101" i="20"/>
  <c r="K101" i="20"/>
  <c r="B102" i="20"/>
  <c r="K102" i="20"/>
  <c r="B103" i="20"/>
  <c r="K103" i="20"/>
  <c r="B104" i="20"/>
  <c r="K104" i="20"/>
  <c r="B105" i="20"/>
  <c r="K105" i="20"/>
  <c r="B106" i="20"/>
  <c r="K106" i="20"/>
  <c r="B107" i="20"/>
  <c r="K107" i="20"/>
  <c r="B108" i="20"/>
  <c r="K108" i="20"/>
  <c r="B109" i="20"/>
  <c r="K109" i="20"/>
  <c r="B110" i="20"/>
  <c r="K110" i="20"/>
  <c r="B111" i="20"/>
  <c r="K111" i="20"/>
  <c r="B112" i="20"/>
  <c r="K112" i="20"/>
  <c r="B113" i="20"/>
  <c r="K113" i="20"/>
  <c r="B114" i="20"/>
  <c r="K114" i="20"/>
  <c r="B115" i="20"/>
  <c r="K115" i="20"/>
  <c r="B116" i="20"/>
  <c r="K116" i="20"/>
  <c r="B117" i="20"/>
  <c r="K117" i="20"/>
  <c r="B118" i="20"/>
  <c r="K118" i="20"/>
  <c r="B119" i="20"/>
  <c r="K119" i="20"/>
  <c r="B120" i="20"/>
  <c r="K120" i="20"/>
  <c r="B121" i="20"/>
  <c r="K121" i="20"/>
  <c r="B122" i="20"/>
  <c r="K122" i="20"/>
  <c r="B123" i="20"/>
  <c r="K123" i="20"/>
  <c r="B124" i="20"/>
  <c r="K124" i="20"/>
  <c r="B125" i="20"/>
  <c r="K125" i="20"/>
  <c r="B126" i="20"/>
  <c r="K126" i="20"/>
  <c r="B127" i="20"/>
  <c r="K127" i="20"/>
  <c r="B128" i="20"/>
  <c r="K128" i="20"/>
  <c r="B129" i="20"/>
  <c r="K129" i="20"/>
  <c r="B130" i="20"/>
  <c r="K130" i="20"/>
  <c r="B131" i="20"/>
  <c r="K131" i="20"/>
  <c r="B132" i="20"/>
  <c r="K132" i="20"/>
  <c r="B133" i="20"/>
  <c r="K133" i="20"/>
  <c r="B134" i="20"/>
  <c r="K134" i="20"/>
  <c r="B135" i="20"/>
  <c r="K135" i="20" s="1"/>
  <c r="B136" i="20"/>
  <c r="K136" i="20"/>
  <c r="B137" i="20"/>
  <c r="K137" i="20" s="1"/>
  <c r="B138" i="20"/>
  <c r="K138" i="20" s="1"/>
  <c r="B139" i="20"/>
  <c r="K139" i="20" s="1"/>
  <c r="B140" i="20"/>
  <c r="K140" i="20"/>
  <c r="B141" i="20"/>
  <c r="K141" i="20" s="1"/>
  <c r="B142" i="20"/>
  <c r="K142" i="20" s="1"/>
  <c r="B143" i="20"/>
  <c r="K143" i="20" s="1"/>
  <c r="B144" i="20"/>
  <c r="K144" i="20"/>
  <c r="B145" i="20"/>
  <c r="K145" i="20"/>
  <c r="B146" i="20"/>
  <c r="K146" i="20"/>
  <c r="B147" i="20"/>
  <c r="K147" i="20"/>
  <c r="B148" i="20"/>
  <c r="K148" i="20"/>
  <c r="B149" i="20"/>
  <c r="K149" i="20"/>
  <c r="B150" i="20"/>
  <c r="K150" i="20"/>
  <c r="B151" i="20"/>
  <c r="K151" i="20"/>
  <c r="B152" i="20"/>
  <c r="K152" i="20"/>
  <c r="B153" i="20"/>
  <c r="K153" i="20"/>
  <c r="B154" i="20"/>
  <c r="K154" i="20"/>
  <c r="B155" i="20"/>
  <c r="K155" i="20"/>
  <c r="B156" i="20"/>
  <c r="K156" i="20"/>
  <c r="B157" i="20"/>
  <c r="K157" i="20"/>
  <c r="B158" i="20"/>
  <c r="K158" i="20"/>
  <c r="B159" i="20"/>
  <c r="K159" i="20"/>
  <c r="B160" i="20"/>
  <c r="K160" i="20"/>
  <c r="B161" i="20"/>
  <c r="K161" i="20"/>
  <c r="B162" i="20"/>
  <c r="K162" i="20"/>
  <c r="B163" i="20"/>
  <c r="K163" i="20"/>
  <c r="B164" i="20"/>
  <c r="K164" i="20"/>
  <c r="B165" i="20"/>
  <c r="K165" i="20"/>
  <c r="B166" i="20"/>
  <c r="K166" i="20"/>
  <c r="B167" i="20"/>
  <c r="K167" i="20"/>
  <c r="B168" i="20"/>
  <c r="K168" i="20"/>
  <c r="B169" i="20"/>
  <c r="K169" i="20"/>
  <c r="B170" i="20"/>
  <c r="K170" i="20"/>
  <c r="B171" i="20"/>
  <c r="K171" i="20"/>
  <c r="B172" i="20"/>
  <c r="K172" i="20"/>
  <c r="B175" i="20"/>
  <c r="K175" i="20"/>
  <c r="B176" i="20"/>
  <c r="K176" i="20"/>
  <c r="B177" i="20"/>
  <c r="K177" i="20"/>
  <c r="B178" i="20"/>
  <c r="K178" i="20"/>
  <c r="B179" i="20"/>
  <c r="K179" i="20"/>
  <c r="B180" i="20"/>
  <c r="K180" i="20"/>
  <c r="B181" i="20"/>
  <c r="K181" i="20"/>
  <c r="B182" i="20"/>
  <c r="K182" i="20"/>
  <c r="B183" i="20"/>
  <c r="K183" i="20"/>
  <c r="B184" i="20"/>
  <c r="K184" i="20"/>
  <c r="B185" i="20"/>
  <c r="K185" i="20"/>
  <c r="B186" i="20"/>
  <c r="K186" i="20"/>
  <c r="B187" i="20"/>
  <c r="K187" i="20"/>
  <c r="B188" i="20"/>
  <c r="K188" i="20"/>
  <c r="B189" i="20"/>
  <c r="K189" i="20"/>
  <c r="B190" i="20"/>
  <c r="K190" i="20"/>
  <c r="B191" i="20"/>
  <c r="K191" i="20"/>
  <c r="B192" i="20"/>
  <c r="K192" i="20"/>
  <c r="B193" i="20"/>
  <c r="K193" i="20"/>
  <c r="B194" i="20"/>
  <c r="K194" i="20"/>
  <c r="B195" i="20"/>
  <c r="K195" i="20"/>
  <c r="B196" i="20"/>
  <c r="K196" i="20"/>
  <c r="B197" i="20"/>
  <c r="K197" i="20"/>
  <c r="B198" i="20"/>
  <c r="K198" i="20"/>
  <c r="B199" i="20"/>
  <c r="K199" i="20"/>
  <c r="B200" i="20"/>
  <c r="K200" i="20"/>
  <c r="B201" i="20"/>
  <c r="K201" i="20"/>
  <c r="B202" i="20"/>
  <c r="K202" i="20" s="1"/>
  <c r="B203" i="20"/>
  <c r="K203" i="20" s="1"/>
  <c r="B205" i="20"/>
  <c r="K205" i="20"/>
  <c r="B206" i="20"/>
  <c r="K206" i="20" s="1"/>
  <c r="B207" i="20"/>
  <c r="K207" i="20" s="1"/>
  <c r="B208" i="20"/>
  <c r="K208" i="20" s="1"/>
  <c r="B209" i="20"/>
  <c r="K209" i="20" s="1"/>
  <c r="B210" i="20"/>
  <c r="K210" i="20" s="1"/>
  <c r="B211" i="20"/>
  <c r="K211" i="20"/>
  <c r="B212" i="20"/>
  <c r="K212" i="20" s="1"/>
  <c r="B214" i="20"/>
  <c r="K214" i="20" s="1"/>
  <c r="B215" i="20"/>
  <c r="K215" i="20" s="1"/>
  <c r="B216" i="20"/>
  <c r="K216" i="20"/>
  <c r="B217" i="20"/>
  <c r="K217" i="20" s="1"/>
  <c r="B218" i="20"/>
  <c r="K218" i="20" s="1"/>
  <c r="B219" i="20"/>
  <c r="K219" i="20" s="1"/>
  <c r="B220" i="20"/>
  <c r="K220" i="20" s="1"/>
  <c r="B221" i="20"/>
  <c r="K221" i="20" s="1"/>
  <c r="B223" i="20"/>
  <c r="K223" i="20"/>
  <c r="B224" i="20"/>
  <c r="K224" i="20" s="1"/>
  <c r="B225" i="20"/>
  <c r="K225" i="20" s="1"/>
  <c r="B226" i="20"/>
  <c r="K226" i="20" s="1"/>
  <c r="B227" i="20"/>
  <c r="K227" i="20" s="1"/>
  <c r="B228" i="20"/>
  <c r="K228" i="20" s="1"/>
  <c r="B229" i="20"/>
  <c r="K229" i="20"/>
  <c r="B230" i="20"/>
  <c r="K230" i="20" s="1"/>
  <c r="B231" i="20"/>
  <c r="K231" i="20" s="1"/>
  <c r="B232" i="20"/>
  <c r="K232" i="20" s="1"/>
  <c r="B233" i="20"/>
  <c r="K233" i="20"/>
  <c r="B234" i="20"/>
  <c r="K234" i="20" s="1"/>
  <c r="B235" i="20"/>
  <c r="K235" i="20" s="1"/>
  <c r="B236" i="20"/>
  <c r="K236" i="20" s="1"/>
  <c r="B237" i="20"/>
  <c r="K237" i="20" s="1"/>
  <c r="B238" i="20"/>
  <c r="K238" i="20" s="1"/>
  <c r="B239" i="20"/>
  <c r="K239" i="20"/>
  <c r="B240" i="20"/>
  <c r="K240" i="20" s="1"/>
  <c r="B241" i="20"/>
  <c r="K241" i="20"/>
  <c r="B242" i="20"/>
  <c r="K242" i="20" s="1"/>
  <c r="B243" i="20"/>
  <c r="K243" i="20" s="1"/>
  <c r="B244" i="20"/>
  <c r="K244" i="20" s="1"/>
  <c r="B245" i="20"/>
  <c r="K245" i="20"/>
  <c r="B246" i="20"/>
  <c r="K246" i="20" s="1"/>
  <c r="B247" i="20"/>
  <c r="K247" i="20"/>
  <c r="B248" i="20"/>
  <c r="K248" i="20" s="1"/>
  <c r="B249" i="20"/>
  <c r="K249" i="20" s="1"/>
  <c r="B250" i="20"/>
  <c r="K250" i="20" s="1"/>
  <c r="B251" i="20"/>
  <c r="K251" i="20" s="1"/>
  <c r="B252" i="20"/>
  <c r="K252" i="20" s="1"/>
  <c r="B253" i="20"/>
  <c r="K253" i="20"/>
  <c r="B254" i="20"/>
  <c r="K254" i="20" s="1"/>
  <c r="B255" i="20"/>
  <c r="K255" i="20" s="1"/>
  <c r="B256" i="20"/>
  <c r="K256" i="20" s="1"/>
  <c r="B257" i="20"/>
  <c r="K257" i="20" s="1"/>
  <c r="B258" i="20"/>
  <c r="K258" i="20" s="1"/>
  <c r="B259" i="20"/>
  <c r="K259" i="20" s="1"/>
  <c r="B260" i="20"/>
  <c r="K260" i="20" s="1"/>
  <c r="B261" i="20"/>
  <c r="K261" i="20"/>
  <c r="B262" i="20"/>
  <c r="K262" i="20" s="1"/>
  <c r="B263" i="20"/>
  <c r="K263" i="20" s="1"/>
  <c r="B264" i="20"/>
  <c r="K264" i="20" s="1"/>
  <c r="B265" i="20"/>
  <c r="K265" i="20" s="1"/>
  <c r="B266" i="20"/>
  <c r="K266" i="20" s="1"/>
  <c r="B267" i="20"/>
  <c r="K267" i="20" s="1"/>
  <c r="B268" i="20"/>
  <c r="K268" i="20" s="1"/>
  <c r="B269" i="20"/>
  <c r="K269" i="20" s="1"/>
  <c r="B270" i="20"/>
  <c r="K270" i="20" s="1"/>
  <c r="B271" i="20"/>
  <c r="K271" i="20"/>
  <c r="B272" i="20"/>
  <c r="K272" i="20" s="1"/>
  <c r="B273" i="20"/>
  <c r="K273" i="20"/>
  <c r="B274" i="20"/>
  <c r="K274" i="20" s="1"/>
  <c r="B275" i="20"/>
  <c r="K275" i="20" s="1"/>
  <c r="B276" i="20"/>
  <c r="K276" i="20" s="1"/>
  <c r="B277" i="20"/>
  <c r="K277" i="20"/>
  <c r="B278" i="20"/>
  <c r="K278" i="20" s="1"/>
  <c r="B279" i="20"/>
  <c r="K279" i="20"/>
  <c r="B280" i="20"/>
  <c r="K280" i="20" s="1"/>
  <c r="B281" i="20"/>
  <c r="K281" i="20"/>
  <c r="B282" i="20"/>
  <c r="K282" i="20" s="1"/>
  <c r="B283" i="20"/>
  <c r="K283" i="20" s="1"/>
  <c r="B284" i="20"/>
  <c r="K284" i="20" s="1"/>
  <c r="B285" i="20"/>
  <c r="K285" i="20"/>
  <c r="B287" i="20"/>
  <c r="K287" i="20" s="1"/>
  <c r="B288" i="20"/>
  <c r="K288" i="20" s="1"/>
  <c r="B289" i="20"/>
  <c r="K289" i="20" s="1"/>
  <c r="B290" i="20"/>
  <c r="K290" i="20" s="1"/>
  <c r="B291" i="20"/>
  <c r="K291" i="20" s="1"/>
  <c r="B292" i="20"/>
  <c r="K292" i="20" s="1"/>
  <c r="B294" i="20"/>
  <c r="K294" i="20" s="1"/>
  <c r="B295" i="20"/>
  <c r="K295" i="20" s="1"/>
  <c r="B296" i="20"/>
  <c r="K296" i="20" s="1"/>
  <c r="B293" i="20"/>
  <c r="K293" i="20" s="1"/>
  <c r="B297" i="20"/>
  <c r="K297" i="20" s="1"/>
  <c r="B298" i="20"/>
  <c r="K298" i="20" s="1"/>
  <c r="B299" i="20"/>
  <c r="K299" i="20" s="1"/>
  <c r="B300" i="20"/>
  <c r="K300" i="20" s="1"/>
  <c r="B301" i="20"/>
  <c r="K301" i="20" s="1"/>
  <c r="B302" i="20"/>
  <c r="K302" i="20" s="1"/>
  <c r="B303" i="20"/>
  <c r="K303" i="20" s="1"/>
  <c r="B304" i="20"/>
  <c r="K304" i="20" s="1"/>
  <c r="B305" i="20"/>
  <c r="K305" i="20" s="1"/>
  <c r="B306" i="20"/>
  <c r="K306" i="20" s="1"/>
  <c r="B307" i="20"/>
  <c r="K307" i="20" s="1"/>
  <c r="B308" i="20"/>
  <c r="K308" i="20" s="1"/>
  <c r="B311" i="20"/>
  <c r="K311" i="20" s="1"/>
  <c r="B312" i="20"/>
  <c r="K312" i="20" s="1"/>
  <c r="B313" i="20"/>
  <c r="K313" i="20"/>
  <c r="B314" i="20"/>
  <c r="K314" i="20" s="1"/>
  <c r="B315" i="20"/>
  <c r="K315" i="20" s="1"/>
  <c r="B316" i="20"/>
  <c r="K316" i="20" s="1"/>
  <c r="B317" i="20"/>
  <c r="K317" i="20" s="1"/>
  <c r="B318" i="20"/>
  <c r="K318" i="20" s="1"/>
  <c r="B324" i="20"/>
  <c r="K324" i="20" s="1"/>
  <c r="B325" i="20"/>
  <c r="K325" i="20" s="1"/>
  <c r="B326" i="20"/>
  <c r="K326" i="20"/>
  <c r="B327" i="20"/>
  <c r="K327" i="20" s="1"/>
  <c r="B328" i="20"/>
  <c r="K328" i="20" s="1"/>
  <c r="B329" i="20"/>
  <c r="K329" i="20" s="1"/>
  <c r="B330" i="20"/>
  <c r="K330" i="20" s="1"/>
  <c r="B331" i="20"/>
  <c r="K331" i="20" s="1"/>
  <c r="B332" i="20"/>
  <c r="K332" i="20"/>
  <c r="B333" i="20"/>
  <c r="K333" i="20" s="1"/>
  <c r="B338" i="20"/>
  <c r="K338" i="20"/>
  <c r="B339" i="20"/>
  <c r="K339" i="20" s="1"/>
  <c r="B340" i="20"/>
  <c r="K340" i="20" s="1"/>
  <c r="B344" i="20"/>
  <c r="K344" i="20" s="1"/>
  <c r="B345" i="20"/>
  <c r="K345" i="20"/>
  <c r="B346" i="20"/>
  <c r="K346" i="20" s="1"/>
  <c r="B347" i="20"/>
  <c r="K347" i="20"/>
  <c r="B348" i="20"/>
  <c r="K348" i="20" s="1"/>
  <c r="B352" i="20"/>
  <c r="K352" i="20" s="1"/>
  <c r="B353" i="20"/>
  <c r="K353" i="20" s="1"/>
  <c r="B354" i="20"/>
  <c r="K354" i="20" s="1"/>
  <c r="B355" i="20"/>
  <c r="K355" i="20" s="1"/>
  <c r="B356" i="20"/>
  <c r="K356" i="20"/>
  <c r="B357" i="20"/>
  <c r="K357" i="20" s="1"/>
  <c r="B358" i="20"/>
  <c r="K358" i="20" s="1"/>
  <c r="B359" i="20"/>
  <c r="K359" i="20" s="1"/>
  <c r="B360" i="20"/>
  <c r="K360" i="20"/>
  <c r="B361" i="20"/>
  <c r="K361" i="20" s="1"/>
  <c r="B362" i="20"/>
  <c r="K362" i="20" s="1"/>
  <c r="B363" i="20"/>
  <c r="K363" i="20" s="1"/>
  <c r="B364" i="20"/>
  <c r="K364" i="20" s="1"/>
  <c r="B365" i="20"/>
  <c r="K365" i="20" s="1"/>
  <c r="B366" i="20"/>
  <c r="K366" i="20"/>
  <c r="B367" i="20"/>
  <c r="K367" i="20" s="1"/>
  <c r="B368" i="20"/>
  <c r="K368" i="20" s="1"/>
  <c r="B369" i="20"/>
  <c r="K369" i="20" s="1"/>
  <c r="B370" i="20"/>
  <c r="K370" i="20" s="1"/>
  <c r="B371" i="20"/>
  <c r="K371" i="20" s="1"/>
  <c r="B372" i="20"/>
  <c r="K372" i="20"/>
  <c r="B373" i="20"/>
  <c r="K373" i="20" s="1"/>
  <c r="B374" i="20"/>
  <c r="K374" i="20" s="1"/>
  <c r="B375" i="20"/>
  <c r="K375" i="20" s="1"/>
  <c r="B376" i="20"/>
  <c r="K376" i="20"/>
  <c r="B377" i="20"/>
  <c r="K377" i="20" s="1"/>
  <c r="B378" i="20"/>
  <c r="K378" i="20" s="1"/>
  <c r="B379" i="20"/>
  <c r="K379" i="20" s="1"/>
  <c r="B380" i="20"/>
  <c r="K380" i="20" s="1"/>
  <c r="B381" i="20"/>
  <c r="K381" i="20" s="1"/>
  <c r="B382" i="20"/>
  <c r="K382" i="20"/>
  <c r="B383" i="20"/>
  <c r="K383" i="20" s="1"/>
  <c r="B384" i="20"/>
  <c r="K384" i="20" s="1"/>
  <c r="B385" i="20"/>
  <c r="K385" i="20"/>
  <c r="B386" i="20"/>
  <c r="K386" i="20" s="1"/>
  <c r="B387" i="20"/>
  <c r="K387" i="20"/>
  <c r="B388" i="20"/>
  <c r="K388" i="20" s="1"/>
  <c r="B389" i="20"/>
  <c r="K389" i="20"/>
  <c r="B390" i="20"/>
  <c r="K390" i="20" s="1"/>
  <c r="B391" i="20"/>
  <c r="K391" i="20" s="1"/>
  <c r="B392" i="20"/>
  <c r="K392" i="20" s="1"/>
  <c r="B393" i="20"/>
  <c r="K393" i="20"/>
  <c r="B394" i="20"/>
  <c r="K394" i="20" s="1"/>
  <c r="B395" i="20"/>
  <c r="K395" i="20"/>
  <c r="B396" i="20"/>
  <c r="K396" i="20" s="1"/>
  <c r="B397" i="20"/>
  <c r="K397" i="20"/>
  <c r="B398" i="20"/>
  <c r="K398" i="20" s="1"/>
  <c r="B399" i="20"/>
  <c r="K399" i="20" s="1"/>
  <c r="B400" i="20"/>
  <c r="K400" i="20" s="1"/>
  <c r="B401" i="20"/>
  <c r="K401" i="20"/>
  <c r="B402" i="20"/>
  <c r="K402" i="20" s="1"/>
  <c r="B403" i="20"/>
  <c r="K403" i="20"/>
  <c r="B404" i="20"/>
  <c r="K404" i="20" s="1"/>
  <c r="B405" i="20"/>
  <c r="K405" i="20"/>
  <c r="B406" i="20"/>
  <c r="K406" i="20" s="1"/>
  <c r="B407" i="20"/>
  <c r="K407" i="20" s="1"/>
  <c r="B408" i="20"/>
  <c r="K408" i="20" s="1"/>
  <c r="B409" i="20"/>
  <c r="K409" i="20"/>
  <c r="B410" i="20"/>
  <c r="K410" i="20" s="1"/>
  <c r="B411" i="20"/>
  <c r="K411" i="20"/>
  <c r="B412" i="20"/>
  <c r="K412" i="20" s="1"/>
  <c r="B413" i="20"/>
  <c r="K413" i="20"/>
  <c r="B414" i="20"/>
  <c r="K414" i="20" s="1"/>
  <c r="B415" i="20"/>
  <c r="K415" i="20" s="1"/>
  <c r="B416" i="20"/>
  <c r="K416" i="20" s="1"/>
  <c r="B417" i="20"/>
  <c r="K417" i="20"/>
  <c r="B418" i="20"/>
  <c r="K418" i="20" s="1"/>
  <c r="B419" i="20"/>
  <c r="K419" i="20"/>
  <c r="B420" i="20"/>
  <c r="K420" i="20" s="1"/>
  <c r="B421" i="20"/>
  <c r="K421" i="20"/>
  <c r="B422" i="20"/>
  <c r="K422" i="20" s="1"/>
  <c r="B423" i="20"/>
  <c r="K423" i="20" s="1"/>
  <c r="B424" i="20"/>
  <c r="K424" i="20" s="1"/>
  <c r="B425" i="20"/>
  <c r="K425" i="20"/>
  <c r="B426" i="20"/>
  <c r="K426" i="20" s="1"/>
  <c r="B427" i="20"/>
  <c r="K427" i="20"/>
  <c r="B428" i="20"/>
  <c r="K428" i="20" s="1"/>
  <c r="B429" i="20"/>
  <c r="K429" i="20"/>
  <c r="B430" i="20"/>
  <c r="K430" i="20" s="1"/>
  <c r="B431" i="20"/>
  <c r="K431" i="20" s="1"/>
  <c r="B432" i="20"/>
  <c r="K432" i="20" s="1"/>
  <c r="B433" i="20"/>
  <c r="K433" i="20"/>
  <c r="B434" i="20"/>
  <c r="K434" i="20" s="1"/>
  <c r="B435" i="20"/>
  <c r="K435" i="20"/>
  <c r="B436" i="20"/>
  <c r="K436" i="20" s="1"/>
  <c r="B437" i="20"/>
  <c r="K437" i="20"/>
  <c r="B438" i="20"/>
  <c r="K438" i="20" s="1"/>
  <c r="B439" i="20"/>
  <c r="K439" i="20" s="1"/>
  <c r="B440" i="20"/>
  <c r="K440" i="20" s="1"/>
  <c r="B441" i="20"/>
  <c r="K441" i="20"/>
  <c r="B442" i="20"/>
  <c r="K442" i="20" s="1"/>
  <c r="B443" i="20"/>
  <c r="K443" i="20"/>
  <c r="B444" i="20"/>
  <c r="K444" i="20" s="1"/>
  <c r="B445" i="20"/>
  <c r="K445" i="20"/>
  <c r="B446" i="20"/>
  <c r="K446" i="20" s="1"/>
  <c r="B447" i="20"/>
  <c r="K447" i="20" s="1"/>
  <c r="B448" i="20"/>
  <c r="K448" i="20" s="1"/>
  <c r="B449" i="20"/>
  <c r="K449" i="20"/>
  <c r="B450" i="20"/>
  <c r="K450" i="20" s="1"/>
  <c r="B451" i="20"/>
  <c r="K451" i="20"/>
  <c r="B452" i="20"/>
  <c r="K452" i="20" s="1"/>
  <c r="B453" i="20"/>
  <c r="K453" i="20"/>
  <c r="B454" i="20"/>
  <c r="K454" i="20" s="1"/>
  <c r="B455" i="20"/>
  <c r="K455" i="20" s="1"/>
  <c r="B456" i="20"/>
  <c r="K456" i="20" s="1"/>
  <c r="B457" i="20"/>
  <c r="K457" i="20"/>
  <c r="B458" i="20"/>
  <c r="K458" i="20" s="1"/>
  <c r="B459" i="20"/>
  <c r="K459" i="20"/>
  <c r="B460" i="20"/>
  <c r="K460" i="20" s="1"/>
  <c r="B461" i="20"/>
  <c r="K461" i="20"/>
  <c r="B462" i="20"/>
  <c r="K462" i="20" s="1"/>
  <c r="B463" i="20"/>
  <c r="K463" i="20" s="1"/>
  <c r="B464" i="20"/>
  <c r="K464" i="20" s="1"/>
  <c r="B465" i="20"/>
  <c r="K465" i="20"/>
  <c r="B466" i="20"/>
  <c r="K466" i="20" s="1"/>
  <c r="B467" i="20"/>
  <c r="K467" i="20"/>
  <c r="B468" i="20"/>
  <c r="K468" i="20" s="1"/>
  <c r="B469" i="20"/>
  <c r="K469" i="20"/>
  <c r="B470" i="20"/>
  <c r="K470" i="20" s="1"/>
  <c r="B471" i="20"/>
  <c r="K471" i="20" s="1"/>
  <c r="B472" i="20"/>
  <c r="K472" i="20" s="1"/>
  <c r="B473" i="20"/>
  <c r="K473" i="20"/>
  <c r="B474" i="20"/>
  <c r="K474" i="20" s="1"/>
  <c r="B475" i="20"/>
  <c r="K475" i="20"/>
  <c r="B476" i="20"/>
  <c r="K476" i="20" s="1"/>
  <c r="B477" i="20"/>
  <c r="K477" i="20"/>
  <c r="B478" i="20"/>
  <c r="K478" i="20" s="1"/>
  <c r="B479" i="20"/>
  <c r="K479" i="20" s="1"/>
  <c r="B480" i="20"/>
  <c r="K480" i="20" s="1"/>
  <c r="B481" i="20"/>
  <c r="K481" i="20"/>
  <c r="B482" i="20"/>
  <c r="K482" i="20" s="1"/>
  <c r="B483" i="20"/>
  <c r="K483" i="20"/>
  <c r="B484" i="20"/>
  <c r="K484" i="20" s="1"/>
  <c r="B485" i="20"/>
  <c r="K485" i="20" s="1"/>
  <c r="B486" i="20"/>
  <c r="K486" i="20" s="1"/>
  <c r="B487" i="20"/>
  <c r="K487" i="20" s="1"/>
  <c r="B488" i="20"/>
  <c r="K488" i="20" s="1"/>
  <c r="B489" i="20"/>
  <c r="K489" i="20"/>
  <c r="B490" i="20"/>
  <c r="K490" i="20" s="1"/>
  <c r="B491" i="20"/>
  <c r="K491" i="20" s="1"/>
  <c r="B492" i="20"/>
  <c r="K492" i="20" s="1"/>
  <c r="B493" i="20"/>
  <c r="K493" i="20" s="1"/>
  <c r="B494" i="20"/>
  <c r="K494" i="20" s="1"/>
  <c r="B495" i="20"/>
  <c r="K495" i="20" s="1"/>
  <c r="B496" i="20"/>
  <c r="K496" i="20" s="1"/>
  <c r="B497" i="20"/>
  <c r="K497" i="20" s="1"/>
  <c r="B498" i="20"/>
  <c r="K498" i="20" s="1"/>
  <c r="B499" i="20"/>
  <c r="K499" i="20"/>
  <c r="B500" i="20"/>
  <c r="K500" i="20" s="1"/>
  <c r="B501" i="20"/>
  <c r="K501" i="20" s="1"/>
  <c r="B502" i="20"/>
  <c r="K502" i="20" s="1"/>
  <c r="B503" i="20"/>
  <c r="K503" i="20" s="1"/>
  <c r="B504" i="20"/>
  <c r="K504" i="20" s="1"/>
  <c r="B505" i="20"/>
  <c r="K505" i="20" s="1"/>
  <c r="B506" i="20"/>
  <c r="K506" i="20" s="1"/>
  <c r="B507" i="20"/>
  <c r="K507" i="20" s="1"/>
  <c r="B508" i="20"/>
  <c r="K508" i="20" s="1"/>
  <c r="B509" i="20"/>
  <c r="K509" i="20" s="1"/>
  <c r="B510" i="20"/>
  <c r="K510" i="20" s="1"/>
  <c r="B511" i="20"/>
  <c r="K511" i="20"/>
  <c r="B512" i="20"/>
  <c r="K512" i="20" s="1"/>
  <c r="B513" i="20"/>
  <c r="K513" i="20" s="1"/>
  <c r="B514" i="20"/>
  <c r="K514" i="20" s="1"/>
  <c r="B515" i="20"/>
  <c r="K515" i="20" s="1"/>
  <c r="B516" i="20"/>
  <c r="K516" i="20" s="1"/>
  <c r="B517" i="20"/>
  <c r="K517" i="20" s="1"/>
  <c r="B518" i="20"/>
  <c r="K518" i="20" s="1"/>
  <c r="B519" i="20"/>
  <c r="K519" i="20" s="1"/>
  <c r="B520" i="20"/>
  <c r="K520" i="20" s="1"/>
  <c r="B521" i="20"/>
  <c r="K521" i="20"/>
  <c r="B522" i="20"/>
  <c r="K522" i="20" s="1"/>
  <c r="B523" i="20"/>
  <c r="K523" i="20"/>
  <c r="B524" i="20"/>
  <c r="K524" i="20" s="1"/>
  <c r="B525" i="20"/>
  <c r="K525" i="20" s="1"/>
  <c r="B526" i="20"/>
  <c r="K526" i="20"/>
  <c r="B527" i="20"/>
  <c r="K527" i="20" s="1"/>
  <c r="B528" i="20"/>
  <c r="K528" i="20" s="1"/>
  <c r="B529" i="20"/>
  <c r="K529" i="20" s="1"/>
  <c r="B530" i="20"/>
  <c r="K530" i="20" s="1"/>
  <c r="B531" i="20"/>
  <c r="K531" i="20" s="1"/>
  <c r="B532" i="20"/>
  <c r="K532" i="20"/>
  <c r="B533" i="20"/>
  <c r="K533" i="20" s="1"/>
  <c r="B534" i="20"/>
  <c r="K534" i="20" s="1"/>
  <c r="B535" i="20"/>
  <c r="K535" i="20" s="1"/>
  <c r="B536" i="20"/>
  <c r="K536" i="20"/>
  <c r="B537" i="20"/>
  <c r="K537" i="20" s="1"/>
  <c r="B538" i="20"/>
  <c r="K538" i="20" s="1"/>
  <c r="B539" i="20"/>
  <c r="K539" i="20" s="1"/>
  <c r="B543" i="20"/>
  <c r="K543" i="20" s="1"/>
  <c r="B544" i="20"/>
  <c r="K544" i="20" s="1"/>
  <c r="B545" i="20"/>
  <c r="K545" i="20" s="1"/>
  <c r="B546" i="20"/>
  <c r="K546" i="20"/>
  <c r="B547" i="20"/>
  <c r="K547" i="20" s="1"/>
  <c r="B548" i="20"/>
  <c r="K548" i="20"/>
  <c r="B549" i="20"/>
  <c r="K549" i="20" s="1"/>
  <c r="B550" i="20"/>
  <c r="K550" i="20" s="1"/>
  <c r="B551" i="20"/>
  <c r="K551" i="20" s="1"/>
  <c r="B552" i="20"/>
  <c r="K552" i="20"/>
  <c r="B553" i="20"/>
  <c r="K553" i="20" s="1"/>
  <c r="B554" i="20"/>
  <c r="K554" i="20"/>
  <c r="B555" i="20"/>
  <c r="K555" i="20" s="1"/>
  <c r="B556" i="20"/>
  <c r="K556" i="20" s="1"/>
  <c r="B557" i="20"/>
  <c r="K557" i="20" s="1"/>
  <c r="B558" i="20"/>
  <c r="K558" i="20" s="1"/>
  <c r="B559" i="20"/>
  <c r="K559" i="20" s="1"/>
  <c r="B560" i="20"/>
  <c r="K560" i="20"/>
  <c r="B561" i="20"/>
  <c r="K561" i="20" s="1"/>
  <c r="B562" i="20"/>
  <c r="K562" i="20" s="1"/>
  <c r="B563" i="20"/>
  <c r="K563" i="20" s="1"/>
  <c r="B564" i="20"/>
  <c r="K564" i="20" s="1"/>
  <c r="B565" i="20"/>
  <c r="K565" i="20" s="1"/>
  <c r="B566" i="20"/>
  <c r="K566" i="20" s="1"/>
  <c r="B567" i="20"/>
  <c r="K567" i="20" s="1"/>
  <c r="B568" i="20"/>
  <c r="K568" i="20" s="1"/>
  <c r="B569" i="20"/>
  <c r="K569" i="20" s="1"/>
  <c r="B570" i="20"/>
  <c r="K570" i="20" s="1"/>
  <c r="B571" i="20"/>
  <c r="K571" i="20" s="1"/>
  <c r="B572" i="20"/>
  <c r="K572" i="20"/>
  <c r="B573" i="20"/>
  <c r="K573" i="20" s="1"/>
  <c r="B574" i="20"/>
  <c r="K574" i="20" s="1"/>
  <c r="B575" i="20"/>
  <c r="K575" i="20" s="1"/>
  <c r="B576" i="20"/>
  <c r="K576" i="20" s="1"/>
  <c r="B577" i="20"/>
  <c r="K577" i="20" s="1"/>
  <c r="B578" i="20"/>
  <c r="K578" i="20" s="1"/>
  <c r="B579" i="20"/>
  <c r="K579" i="20" s="1"/>
  <c r="B580" i="20"/>
  <c r="K580" i="20" s="1"/>
  <c r="B581" i="20"/>
  <c r="K581" i="20" s="1"/>
  <c r="B582" i="20"/>
  <c r="K582" i="20" s="1"/>
  <c r="B583" i="20"/>
  <c r="K583" i="20" s="1"/>
  <c r="B584" i="20"/>
  <c r="K584" i="20" s="1"/>
  <c r="B585" i="20"/>
  <c r="K585" i="20" s="1"/>
  <c r="B586" i="20"/>
  <c r="K586" i="20"/>
  <c r="B587" i="20"/>
  <c r="K587" i="20" s="1"/>
  <c r="B588" i="20"/>
  <c r="K588" i="20" s="1"/>
  <c r="B589" i="20"/>
  <c r="K589" i="20" s="1"/>
  <c r="B591" i="20"/>
  <c r="K591" i="20" s="1"/>
  <c r="B592" i="20"/>
  <c r="K592" i="20" s="1"/>
  <c r="B593" i="20"/>
  <c r="K593" i="20" s="1"/>
  <c r="B594" i="20"/>
  <c r="K594" i="20" s="1"/>
  <c r="B595" i="20"/>
  <c r="K595" i="20" s="1"/>
  <c r="B596" i="20"/>
  <c r="K596" i="20" s="1"/>
  <c r="B597" i="20"/>
  <c r="K597" i="20" s="1"/>
  <c r="B598" i="20"/>
  <c r="K598" i="20" s="1"/>
  <c r="H51" i="24"/>
  <c r="H51" i="23"/>
  <c r="H51" i="22"/>
  <c r="H51" i="21"/>
  <c r="H50" i="24"/>
  <c r="H49" i="24"/>
  <c r="H48" i="24"/>
  <c r="H50" i="23"/>
  <c r="H49" i="23"/>
  <c r="H48" i="23"/>
  <c r="H50" i="22"/>
  <c r="H49" i="22"/>
  <c r="H48" i="22"/>
  <c r="H48" i="21"/>
  <c r="H49" i="21"/>
  <c r="H50" i="21"/>
  <c r="H47" i="24"/>
  <c r="H47" i="23"/>
  <c r="H47" i="22"/>
  <c r="H47" i="21"/>
  <c r="H46" i="24"/>
  <c r="H45" i="24"/>
  <c r="H46" i="23"/>
  <c r="H45" i="23"/>
  <c r="H46" i="22"/>
  <c r="H45" i="22"/>
  <c r="H46" i="21"/>
  <c r="H45" i="21"/>
  <c r="H44" i="24"/>
  <c r="H44" i="23"/>
  <c r="H44" i="22"/>
  <c r="H44" i="21"/>
  <c r="H43" i="24"/>
  <c r="H43" i="23"/>
  <c r="H43" i="22"/>
  <c r="H43" i="21"/>
  <c r="B204" i="20"/>
  <c r="H42" i="24"/>
  <c r="H42" i="22"/>
  <c r="H42" i="21"/>
  <c r="H42" i="23"/>
  <c r="H41" i="24"/>
  <c r="H41" i="23"/>
  <c r="H41" i="22"/>
  <c r="H41" i="21"/>
  <c r="H40" i="24"/>
  <c r="H39" i="24"/>
  <c r="H40" i="23"/>
  <c r="H39" i="23"/>
  <c r="H40" i="22"/>
  <c r="H39" i="22"/>
  <c r="H40" i="21"/>
  <c r="H39" i="21"/>
  <c r="H38" i="24"/>
  <c r="H38" i="23"/>
  <c r="H38" i="22"/>
  <c r="H38" i="21"/>
  <c r="H37" i="24"/>
  <c r="H36" i="24"/>
  <c r="H37" i="23"/>
  <c r="H36" i="23"/>
  <c r="H37" i="22"/>
  <c r="H36" i="22"/>
  <c r="H37" i="21"/>
  <c r="H36" i="21"/>
  <c r="K4" i="20"/>
  <c r="H16" i="25"/>
  <c r="H15" i="25"/>
  <c r="H14" i="25"/>
  <c r="H13" i="25"/>
  <c r="H12" i="25"/>
  <c r="H11" i="25"/>
  <c r="H10" i="25"/>
  <c r="H9" i="25"/>
  <c r="H8" i="25"/>
  <c r="H7" i="25"/>
  <c r="H6" i="25"/>
  <c r="H5" i="25"/>
  <c r="H35" i="24"/>
  <c r="H35" i="22"/>
  <c r="H35" i="23"/>
  <c r="H35" i="21"/>
  <c r="H34" i="24"/>
  <c r="H33" i="24"/>
  <c r="H32" i="24"/>
  <c r="H31" i="24"/>
  <c r="H30" i="24"/>
  <c r="H29" i="24"/>
  <c r="H26" i="24"/>
  <c r="H25" i="24"/>
  <c r="H21" i="24"/>
  <c r="H20" i="24"/>
  <c r="H19" i="24"/>
  <c r="H18" i="24"/>
  <c r="H17" i="24"/>
  <c r="H16" i="24"/>
  <c r="H15" i="24"/>
  <c r="H14" i="24"/>
  <c r="H13" i="24"/>
  <c r="H12" i="24"/>
  <c r="H11" i="24"/>
  <c r="H10" i="24"/>
  <c r="H9" i="24"/>
  <c r="H8" i="24"/>
  <c r="H7" i="24"/>
  <c r="H6" i="24"/>
  <c r="H5" i="24"/>
  <c r="H34" i="23"/>
  <c r="H33" i="23"/>
  <c r="H32" i="23"/>
  <c r="H31" i="23"/>
  <c r="H30" i="23"/>
  <c r="H29" i="23"/>
  <c r="H26" i="23"/>
  <c r="H25" i="23"/>
  <c r="H21" i="23"/>
  <c r="H20" i="23"/>
  <c r="H19" i="23"/>
  <c r="H18" i="23"/>
  <c r="H17" i="23"/>
  <c r="H16" i="23"/>
  <c r="H15" i="23"/>
  <c r="H14" i="23"/>
  <c r="H13" i="23"/>
  <c r="H12" i="23"/>
  <c r="H11" i="23"/>
  <c r="H10" i="23"/>
  <c r="H9" i="23"/>
  <c r="H8" i="23"/>
  <c r="H7" i="23"/>
  <c r="H6" i="23"/>
  <c r="H5" i="23"/>
  <c r="H34" i="22"/>
  <c r="H33" i="22"/>
  <c r="H32" i="22"/>
  <c r="H31" i="22"/>
  <c r="H30" i="22"/>
  <c r="H29" i="22"/>
  <c r="H26" i="22"/>
  <c r="H25" i="22"/>
  <c r="H21" i="22"/>
  <c r="H20" i="22"/>
  <c r="H19" i="22"/>
  <c r="H18" i="22"/>
  <c r="H17" i="22"/>
  <c r="H16" i="22"/>
  <c r="H15" i="22"/>
  <c r="H14" i="22"/>
  <c r="H13" i="22"/>
  <c r="H12" i="22"/>
  <c r="H11" i="22"/>
  <c r="H10" i="22"/>
  <c r="H9" i="22"/>
  <c r="H8" i="22"/>
  <c r="H7" i="22"/>
  <c r="H6" i="22"/>
  <c r="H5" i="22"/>
  <c r="H34" i="21"/>
  <c r="H33" i="21"/>
  <c r="H32" i="21"/>
  <c r="H31" i="21"/>
  <c r="H30" i="21"/>
  <c r="H29" i="21"/>
  <c r="H26" i="21"/>
  <c r="H25" i="21"/>
  <c r="H21" i="21"/>
  <c r="H20" i="21"/>
  <c r="H19" i="21"/>
  <c r="H18" i="21"/>
  <c r="H17" i="21"/>
  <c r="H16" i="21"/>
  <c r="H15" i="21"/>
  <c r="H14" i="21"/>
  <c r="H13" i="21"/>
  <c r="H12" i="21"/>
  <c r="H11" i="21"/>
  <c r="H10" i="21"/>
  <c r="H9" i="21"/>
  <c r="H8" i="21"/>
  <c r="H7" i="21"/>
  <c r="H6" i="21"/>
  <c r="H5" i="21"/>
  <c r="B351" i="20"/>
  <c r="B350" i="20"/>
  <c r="B349" i="20"/>
  <c r="B343" i="20"/>
  <c r="B342" i="20"/>
  <c r="B341" i="20"/>
  <c r="B337" i="20"/>
  <c r="B336" i="20"/>
  <c r="B335" i="20"/>
  <c r="B334" i="20"/>
  <c r="B323" i="20"/>
  <c r="B322" i="20"/>
  <c r="B321" i="20"/>
  <c r="B320" i="20"/>
  <c r="B319" i="20"/>
  <c r="B174" i="20"/>
  <c r="B173" i="20"/>
  <c r="B5" i="20"/>
  <c r="K5" i="20"/>
</calcChain>
</file>

<file path=xl/comments1.xml><?xml version="1.0" encoding="utf-8"?>
<comments xmlns="http://schemas.openxmlformats.org/spreadsheetml/2006/main">
  <authors>
    <author>m</author>
    <author>mabo</author>
  </authors>
  <commentList>
    <comment ref="C13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临时方案
等同</t>
        </r>
        <r>
          <rPr>
            <b/>
            <sz val="9"/>
            <color indexed="81"/>
            <rFont val="Tahoma"/>
            <family val="2"/>
          </rPr>
          <t>by_buyer_type</t>
        </r>
      </text>
    </comment>
    <comment ref="C519" authorId="1" shapeId="0">
      <text>
        <r>
          <rPr>
            <b/>
            <sz val="9"/>
            <color indexed="81"/>
            <rFont val="宋体"/>
            <family val="3"/>
            <charset val="134"/>
          </rPr>
          <t>与SlMainClass有重复</t>
        </r>
      </text>
    </comment>
  </commentList>
</comments>
</file>

<file path=xl/comments2.xml><?xml version="1.0" encoding="utf-8"?>
<comments xmlns="http://schemas.openxmlformats.org/spreadsheetml/2006/main">
  <authors>
    <author>mabo</author>
  </authors>
  <commentList>
    <comment ref="C22" authorId="0" shapeId="0">
      <text>
        <r>
          <rPr>
            <sz val="9"/>
            <color indexed="81"/>
            <rFont val="宋体"/>
            <family val="3"/>
            <charset val="134"/>
          </rPr>
          <t>百酷价盘已经废弃，注意更新地址</t>
        </r>
      </text>
    </comment>
  </commentList>
</comments>
</file>

<file path=xl/comments3.xml><?xml version="1.0" encoding="utf-8"?>
<comments xmlns="http://schemas.openxmlformats.org/spreadsheetml/2006/main">
  <authors>
    <author>mabo</author>
  </authors>
  <commentList>
    <comment ref="C22" authorId="0" shapeId="0">
      <text>
        <r>
          <rPr>
            <sz val="9"/>
            <color indexed="81"/>
            <rFont val="宋体"/>
            <family val="3"/>
            <charset val="134"/>
          </rPr>
          <t>百酷价盘已经废弃，注意更新地址</t>
        </r>
      </text>
    </comment>
  </commentList>
</comments>
</file>

<file path=xl/comments4.xml><?xml version="1.0" encoding="utf-8"?>
<comments xmlns="http://schemas.openxmlformats.org/spreadsheetml/2006/main">
  <authors>
    <author>mabo</author>
  </authors>
  <commentList>
    <comment ref="C22" authorId="0" shapeId="0">
      <text>
        <r>
          <rPr>
            <sz val="9"/>
            <color indexed="81"/>
            <rFont val="宋体"/>
            <family val="3"/>
            <charset val="134"/>
          </rPr>
          <t>百酷价盘已经废弃，注意更新地址</t>
        </r>
      </text>
    </comment>
  </commentList>
</comments>
</file>

<file path=xl/comments5.xml><?xml version="1.0" encoding="utf-8"?>
<comments xmlns="http://schemas.openxmlformats.org/spreadsheetml/2006/main">
  <authors>
    <author>mabo</author>
  </authors>
  <commentList>
    <comment ref="C22" authorId="0" shapeId="0">
      <text>
        <r>
          <rPr>
            <sz val="9"/>
            <color indexed="81"/>
            <rFont val="宋体"/>
            <family val="3"/>
            <charset val="134"/>
          </rPr>
          <t>百酷价盘已经废弃，注意更新地址</t>
        </r>
      </text>
    </comment>
  </commentList>
</comments>
</file>

<file path=xl/comments6.xml><?xml version="1.0" encoding="utf-8"?>
<comments xmlns="http://schemas.openxmlformats.org/spreadsheetml/2006/main">
  <authors>
    <author>mabo</author>
  </authors>
  <commentList>
    <comment ref="C22" authorId="0" shapeId="0">
      <text>
        <r>
          <rPr>
            <sz val="9"/>
            <color indexed="81"/>
            <rFont val="宋体"/>
            <family val="3"/>
            <charset val="134"/>
          </rPr>
          <t>百酷价盘已经废弃，注意更新地址</t>
        </r>
      </text>
    </comment>
  </commentList>
</comments>
</file>

<file path=xl/sharedStrings.xml><?xml version="1.0" encoding="utf-8"?>
<sst xmlns="http://schemas.openxmlformats.org/spreadsheetml/2006/main" count="3948" uniqueCount="1490">
  <si>
    <t>根据所有sheet中的数据作成sql脚本文件，请填写以下几个项目</t>
  </si>
  <si>
    <t>生成的sql脚本文件路径：</t>
  </si>
  <si>
    <t>环境：</t>
  </si>
  <si>
    <t>（请选择一个环境）</t>
  </si>
  <si>
    <t>模式：</t>
  </si>
  <si>
    <t>自定义</t>
  </si>
  <si>
    <t>（请选择生成模式）</t>
  </si>
  <si>
    <t>comm</t>
  </si>
  <si>
    <t>（若是自定义模式，请在左边输入自定义标签</t>
  </si>
  <si>
    <t>Cell(1,4)</t>
  </si>
  <si>
    <t>sql脚本文件出力成功！</t>
  </si>
  <si>
    <t>使用说明</t>
  </si>
  <si>
    <t>关于环境，因为配置表COMM_CONFIG有开发、测试、uat和正式4个环境，必须选择一个生成</t>
  </si>
  <si>
    <t>关于模式，会在环境选择后，根据所需要生成的表来生成基础数据sql文，说明如下</t>
  </si>
  <si>
    <t>业务库：</t>
  </si>
  <si>
    <r>
      <rPr>
        <sz val="11"/>
        <color theme="1"/>
        <rFont val="Calibri"/>
        <family val="2"/>
      </rPr>
      <t>生成除comm</t>
    </r>
    <r>
      <rPr>
        <sz val="11"/>
        <color theme="1"/>
        <rFont val="Calibri"/>
        <family val="2"/>
      </rPr>
      <t>_xxx和org_xxx以外的所有表数据</t>
    </r>
  </si>
  <si>
    <t>开发</t>
  </si>
  <si>
    <t>共通库：</t>
  </si>
  <si>
    <r>
      <rPr>
        <sz val="11"/>
        <color theme="1"/>
        <rFont val="Calibri"/>
        <family val="2"/>
      </rPr>
      <t>生成comm</t>
    </r>
    <r>
      <rPr>
        <sz val="11"/>
        <color theme="1"/>
        <rFont val="Calibri"/>
        <family val="2"/>
      </rPr>
      <t>_xxx和org_xxx的所有表数据</t>
    </r>
  </si>
  <si>
    <t>测试</t>
  </si>
  <si>
    <t>全部：</t>
  </si>
  <si>
    <t>所有表数据</t>
  </si>
  <si>
    <r>
      <rPr>
        <sz val="11"/>
        <color theme="1"/>
        <rFont val="Calibri"/>
        <family val="2"/>
      </rPr>
      <t>U</t>
    </r>
    <r>
      <rPr>
        <sz val="11"/>
        <color theme="1"/>
        <rFont val="Calibri"/>
        <family val="2"/>
      </rPr>
      <t>AT</t>
    </r>
  </si>
  <si>
    <t>自定义:</t>
  </si>
  <si>
    <t>匹配所有sheet，生成所有符合黄色标签的sheet中的数据。自定义标签在每个sheet的【D1】</t>
  </si>
  <si>
    <t>正式</t>
  </si>
  <si>
    <t>！！！自定义的选项会无视环境选择，即COMM_CONFIG的4个环境会同时生成，千万注意！！！</t>
  </si>
  <si>
    <t>关于每个sheet的格式说明：</t>
  </si>
  <si>
    <t>1.每个sheet的【C1】必须为表名，【D1】必须为自定义标签</t>
  </si>
  <si>
    <t>业务库</t>
  </si>
  <si>
    <t>2.每个sheet的第三行必须为表列名，从【B3】开始到“DEL_FLG”结束（DEL_FLG列包含），或者用END标识结束（END列不包含）</t>
  </si>
  <si>
    <t>共通库</t>
  </si>
  <si>
    <t>3.每个sheet的第五行开始必须为数据，和第三行的列对应，以END标识结束</t>
  </si>
  <si>
    <t>全部</t>
  </si>
  <si>
    <t>4.所有sheet中的数据，除了DEL_FLG以外的共通自动将会插入默认值（更新者为admin，更新时间为当前时间，ver为1）</t>
  </si>
  <si>
    <t>表名</t>
  </si>
  <si>
    <t>删除标志</t>
  </si>
  <si>
    <t>DEL_FLG</t>
  </si>
  <si>
    <t>例</t>
  </si>
  <si>
    <t>卖家</t>
  </si>
  <si>
    <t>会员管理</t>
  </si>
  <si>
    <t>销售运营管理</t>
  </si>
  <si>
    <t>系统描述</t>
  </si>
  <si>
    <t>平台</t>
  </si>
  <si>
    <t>云冻品平台</t>
  </si>
  <si>
    <t>云冻品B2B平台</t>
  </si>
  <si>
    <t>卖家系统</t>
  </si>
  <si>
    <t>产品系统</t>
  </si>
  <si>
    <t>卖家供应链系统</t>
  </si>
  <si>
    <t>END</t>
  </si>
  <si>
    <t>买家系统</t>
  </si>
  <si>
    <t>登录用户区分</t>
  </si>
  <si>
    <t>其他</t>
  </si>
  <si>
    <t>城区</t>
  </si>
  <si>
    <t>GNQ</t>
  </si>
  <si>
    <t>是否必须</t>
  </si>
  <si>
    <t>comm_constant</t>
  </si>
  <si>
    <t>编号</t>
  </si>
  <si>
    <t>常量类型</t>
  </si>
  <si>
    <t>常量类型名称</t>
  </si>
  <si>
    <t>常量值名称</t>
  </si>
  <si>
    <t>常量值</t>
  </si>
  <si>
    <t>使用系统</t>
  </si>
  <si>
    <t>备注</t>
  </si>
  <si>
    <t>ID</t>
  </si>
  <si>
    <t>CONSTANT_TYPE</t>
  </si>
  <si>
    <t>CONSTANT_TYPE_NAME</t>
  </si>
  <si>
    <t>CONSTANT_NAME</t>
  </si>
  <si>
    <t>CONSTANT_VALUE</t>
  </si>
  <si>
    <t>YESNO</t>
  </si>
  <si>
    <t>是否</t>
  </si>
  <si>
    <t>否</t>
  </si>
  <si>
    <t>是</t>
  </si>
  <si>
    <t>DivisionLevel</t>
  </si>
  <si>
    <t>行政区域划分级别</t>
  </si>
  <si>
    <t>大区</t>
  </si>
  <si>
    <t>省或物流区</t>
  </si>
  <si>
    <t>城市（区域）</t>
  </si>
  <si>
    <t>区（县）</t>
  </si>
  <si>
    <t>OrderType</t>
  </si>
  <si>
    <t>订单类型</t>
  </si>
  <si>
    <t>分销订单</t>
  </si>
  <si>
    <t>订单主表.订单类型</t>
  </si>
  <si>
    <t>第三方订单</t>
  </si>
  <si>
    <t>大促会订单</t>
  </si>
  <si>
    <t>买手囤货订单</t>
  </si>
  <si>
    <t>买手销售订单</t>
  </si>
  <si>
    <t>第三方买手销售订单</t>
  </si>
  <si>
    <t>第三方买手囤货订单</t>
  </si>
  <si>
    <t>PaymentType</t>
  </si>
  <si>
    <t>付款类型</t>
  </si>
  <si>
    <t>在线支付</t>
  </si>
  <si>
    <t>订单主表.付款类型</t>
  </si>
  <si>
    <t>货到付款（线下支付）</t>
  </si>
  <si>
    <t>OrderDetailType</t>
  </si>
  <si>
    <t>订单明细类型</t>
  </si>
  <si>
    <t>正常订单</t>
  </si>
  <si>
    <t>订单明细表.订单明细类型</t>
  </si>
  <si>
    <t>非正常订单</t>
  </si>
  <si>
    <t>促销订单</t>
  </si>
  <si>
    <t>OrderLevel</t>
  </si>
  <si>
    <t>订单明细等级</t>
  </si>
  <si>
    <t>标准订单</t>
  </si>
  <si>
    <t>订单明细表.订单明细等级</t>
  </si>
  <si>
    <t>大额订单</t>
  </si>
  <si>
    <t>大宗订单</t>
  </si>
  <si>
    <t>超级大宗订单</t>
  </si>
  <si>
    <t>InvoiceType</t>
  </si>
  <si>
    <t>发票类型</t>
  </si>
  <si>
    <t>普通发票</t>
  </si>
  <si>
    <t>订单发票表.发票类型</t>
  </si>
  <si>
    <t>增值税普通发票</t>
  </si>
  <si>
    <t>增值税专用发票</t>
  </si>
  <si>
    <t>ReturnType</t>
  </si>
  <si>
    <t>退货类型</t>
  </si>
  <si>
    <t>退货单主表.退货类型</t>
  </si>
  <si>
    <t>ReturnMode</t>
  </si>
  <si>
    <t>退货方式</t>
  </si>
  <si>
    <t>全退</t>
  </si>
  <si>
    <t>退货单主表.退货方式</t>
  </si>
  <si>
    <t>部分退</t>
  </si>
  <si>
    <t>OrderCancleType</t>
  </si>
  <si>
    <t>取消类型</t>
  </si>
  <si>
    <t>买家取消</t>
  </si>
  <si>
    <t>订单主表.取消类型</t>
  </si>
  <si>
    <t>不同意拼货取消</t>
  </si>
  <si>
    <t>不同意分批取消</t>
  </si>
  <si>
    <t>分批发货确认</t>
  </si>
  <si>
    <t>SplitDeliveryFlg</t>
  </si>
  <si>
    <t>订单主表.分批发货确认</t>
  </si>
  <si>
    <t>买家同意分批</t>
  </si>
  <si>
    <t>买家确认取消</t>
  </si>
  <si>
    <t>拣货差异状态</t>
  </si>
  <si>
    <t>PickDiff</t>
  </si>
  <si>
    <t>无差异</t>
  </si>
  <si>
    <t>订单明细供货表.拣货差异状态</t>
  </si>
  <si>
    <t>发生差异</t>
  </si>
  <si>
    <t>买家同意差异</t>
  </si>
  <si>
    <t>DeliveryType</t>
  </si>
  <si>
    <t>配送方式</t>
  </si>
  <si>
    <t>汽车配送</t>
  </si>
  <si>
    <t>订单配送要求表.配送方式
订单配送信息表.配送方式</t>
  </si>
  <si>
    <t>空运</t>
  </si>
  <si>
    <t>库存类别</t>
  </si>
  <si>
    <t>StockType</t>
  </si>
  <si>
    <t>正常库存</t>
  </si>
  <si>
    <t>供应商产品库存表.库存类别</t>
  </si>
  <si>
    <t>非正常库存</t>
  </si>
  <si>
    <t>促销库存</t>
  </si>
  <si>
    <t>供应商产品库存表.供货平台</t>
  </si>
  <si>
    <t>微商城平台</t>
  </si>
  <si>
    <t>需求状态</t>
  </si>
  <si>
    <t>ProOrderStatus</t>
  </si>
  <si>
    <t>待审批</t>
  </si>
  <si>
    <t>已审批</t>
  </si>
  <si>
    <t>OrderStatus</t>
  </si>
  <si>
    <t>订单状态</t>
  </si>
  <si>
    <t>新建</t>
  </si>
  <si>
    <t>待付款</t>
  </si>
  <si>
    <t>已付款</t>
  </si>
  <si>
    <t>待审核</t>
  </si>
  <si>
    <t>已审核</t>
  </si>
  <si>
    <t>待分销</t>
  </si>
  <si>
    <t>分销中</t>
  </si>
  <si>
    <t>已确认</t>
  </si>
  <si>
    <t>待发货</t>
  </si>
  <si>
    <t>部分发货</t>
  </si>
  <si>
    <t>部分收货</t>
  </si>
  <si>
    <t>全部发货</t>
  </si>
  <si>
    <t>全部收货</t>
  </si>
  <si>
    <t>分销失败</t>
  </si>
  <si>
    <t>OrderDetailStatus</t>
  </si>
  <si>
    <t>订单详细状态</t>
  </si>
  <si>
    <t>OrderDetailAvailabilityStatus</t>
  </si>
  <si>
    <t>订单详细供应状态</t>
  </si>
  <si>
    <t>ReturnOrderStatus</t>
  </si>
  <si>
    <t>退货单状态</t>
  </si>
  <si>
    <t>申请中</t>
  </si>
  <si>
    <t>待收货</t>
  </si>
  <si>
    <t>处理中</t>
  </si>
  <si>
    <t>收货中</t>
  </si>
  <si>
    <t>已收货</t>
  </si>
  <si>
    <t>购买需求状态</t>
  </si>
  <si>
    <t>发放状态</t>
  </si>
  <si>
    <t>会员卡发放状态</t>
  </si>
  <si>
    <t>未发放</t>
  </si>
  <si>
    <t>发放锁定中</t>
  </si>
  <si>
    <t>已发放</t>
  </si>
  <si>
    <t>挂失</t>
  </si>
  <si>
    <t>废止</t>
  </si>
  <si>
    <t>卖家主分类</t>
  </si>
  <si>
    <t>自产型</t>
  </si>
  <si>
    <t>买家基本信息表</t>
  </si>
  <si>
    <t>代理型</t>
  </si>
  <si>
    <t>OEM型</t>
  </si>
  <si>
    <t>买手型</t>
  </si>
  <si>
    <t>生产商</t>
  </si>
  <si>
    <t>卖家分销资格</t>
  </si>
  <si>
    <t>无资格</t>
  </si>
  <si>
    <t>买家基本信息表中</t>
  </si>
  <si>
    <t>标准分销卖家</t>
  </si>
  <si>
    <t>优良分销卖家</t>
  </si>
  <si>
    <t>重点分销卖家</t>
  </si>
  <si>
    <t>不必须</t>
  </si>
  <si>
    <t>证照基础数据是否必须</t>
  </si>
  <si>
    <t>必须</t>
  </si>
  <si>
    <t>按产品类别</t>
  </si>
  <si>
    <t>品牌名称</t>
  </si>
  <si>
    <t>品牌证书</t>
  </si>
  <si>
    <t>企业产品品牌品牌名称</t>
  </si>
  <si>
    <t>品牌包装</t>
  </si>
  <si>
    <t>品牌荣誉</t>
  </si>
  <si>
    <t>产品技术标准定级</t>
  </si>
  <si>
    <t>A1</t>
  </si>
  <si>
    <t>卖家产品品种产品技术标准定级</t>
  </si>
  <si>
    <t>A2</t>
  </si>
  <si>
    <t>A3</t>
  </si>
  <si>
    <t>产品技术标准定级监控人审核意见</t>
  </si>
  <si>
    <t>买家基本信息表中的产品技术标准定级监控人审核意见</t>
  </si>
  <si>
    <t>同意</t>
  </si>
  <si>
    <t>不同意</t>
  </si>
  <si>
    <t>产品质量标准定级</t>
  </si>
  <si>
    <t>优良</t>
  </si>
  <si>
    <t>买家基本信息表中的产品质量标准定级</t>
  </si>
  <si>
    <t>合格</t>
  </si>
  <si>
    <t>不合格</t>
  </si>
  <si>
    <t>审核结果</t>
  </si>
  <si>
    <t>买家基本信息表中的审核结果</t>
  </si>
  <si>
    <t>增加标准包装规格</t>
  </si>
  <si>
    <t>品牌类型</t>
  </si>
  <si>
    <t>自有品牌</t>
  </si>
  <si>
    <t>卖家产品品牌品牌类型</t>
  </si>
  <si>
    <t>代理品牌</t>
  </si>
  <si>
    <t>同意标志</t>
  </si>
  <si>
    <t>未录入</t>
  </si>
  <si>
    <t>分销章程卖家意见同意标志</t>
  </si>
  <si>
    <t>产品加工程度</t>
  </si>
  <si>
    <t>白条</t>
  </si>
  <si>
    <t>产品加工程度信息表产品加工程度</t>
  </si>
  <si>
    <t>分割品</t>
  </si>
  <si>
    <t>副产品</t>
  </si>
  <si>
    <t>净料</t>
  </si>
  <si>
    <t>调理品(生)</t>
  </si>
  <si>
    <t>调理品(熟)</t>
  </si>
  <si>
    <t>PdStockType</t>
  </si>
  <si>
    <t>产品库存类型</t>
  </si>
  <si>
    <t>生产期产品</t>
  </si>
  <si>
    <t>区别供应链中各阶段的产品库存</t>
  </si>
  <si>
    <t>待运库产品</t>
  </si>
  <si>
    <t>在途产品</t>
  </si>
  <si>
    <t>入销售库产品</t>
  </si>
  <si>
    <t>HalfCodeType</t>
  </si>
  <si>
    <t>半旬代码</t>
  </si>
  <si>
    <t>21-25日</t>
  </si>
  <si>
    <t>定义一个批次的各半旬
（26-N日：N根据月份可变)</t>
  </si>
  <si>
    <t>26-N日</t>
  </si>
  <si>
    <t>1-5日</t>
  </si>
  <si>
    <t>6-10日</t>
  </si>
  <si>
    <t>11-15日</t>
  </si>
  <si>
    <t>16-20日</t>
  </si>
  <si>
    <t>DeliveryStockStatus</t>
  </si>
  <si>
    <t>发货入库状态</t>
  </si>
  <si>
    <t>未申请</t>
  </si>
  <si>
    <t>发货入库前还未申请</t>
  </si>
  <si>
    <t>发货入库前申请中</t>
  </si>
  <si>
    <t>发货入库前申请已确认</t>
  </si>
  <si>
    <t>发货入库待收货</t>
  </si>
  <si>
    <t>发货入库已收货</t>
  </si>
  <si>
    <t>发货入库部分收货</t>
  </si>
  <si>
    <t>PaymentMethod</t>
  </si>
  <si>
    <t>支付类型</t>
  </si>
  <si>
    <t>网银</t>
  </si>
  <si>
    <t>会员卡</t>
  </si>
  <si>
    <t>VIPCard</t>
  </si>
  <si>
    <t>POS机</t>
  </si>
  <si>
    <t>POS</t>
  </si>
  <si>
    <t>现金</t>
  </si>
  <si>
    <t>买家类型</t>
  </si>
  <si>
    <t>分销买家</t>
  </si>
  <si>
    <t>Distribution，批发市场的买家</t>
  </si>
  <si>
    <t>菜场买家</t>
  </si>
  <si>
    <t>Market</t>
  </si>
  <si>
    <t>团膳买家</t>
  </si>
  <si>
    <t>GroupMeal</t>
  </si>
  <si>
    <t>火锅买家</t>
  </si>
  <si>
    <t>HotPot</t>
  </si>
  <si>
    <t>中餐买家</t>
  </si>
  <si>
    <t>ChineseFood</t>
  </si>
  <si>
    <t>西餐买家</t>
  </si>
  <si>
    <t>WestFood</t>
  </si>
  <si>
    <t>小吃烧烤买家</t>
  </si>
  <si>
    <t>SnackGrill</t>
  </si>
  <si>
    <t>加工厂买家</t>
  </si>
  <si>
    <t>Processing</t>
  </si>
  <si>
    <t>买手</t>
  </si>
  <si>
    <t>BuyerShop</t>
  </si>
  <si>
    <t>第三方买手</t>
  </si>
  <si>
    <t>SalesTarget</t>
  </si>
  <si>
    <t>产品销售对象</t>
  </si>
  <si>
    <t>菜场(含KA)</t>
  </si>
  <si>
    <t>MarketKA</t>
  </si>
  <si>
    <t>团膳</t>
  </si>
  <si>
    <t>火锅</t>
  </si>
  <si>
    <t>中餐</t>
  </si>
  <si>
    <t>西餐</t>
  </si>
  <si>
    <t>小吃烧烤</t>
  </si>
  <si>
    <t>加工厂</t>
  </si>
  <si>
    <t>LicType</t>
  </si>
  <si>
    <t>企业证照类型</t>
  </si>
  <si>
    <t>个体工商户营业执照</t>
  </si>
  <si>
    <t>IndiviLic</t>
  </si>
  <si>
    <t>个人独资企业营业执照</t>
  </si>
  <si>
    <t>合伙企业营业执照</t>
  </si>
  <si>
    <t>企业法人营业执照</t>
  </si>
  <si>
    <t>农民专业合作社营业执照</t>
  </si>
  <si>
    <t>LegalLicType</t>
  </si>
  <si>
    <t>个人证照类型</t>
  </si>
  <si>
    <t>身份证</t>
  </si>
  <si>
    <t>IdCard</t>
  </si>
  <si>
    <t>护照</t>
  </si>
  <si>
    <t>Passport</t>
  </si>
  <si>
    <t>other</t>
  </si>
  <si>
    <t>EmployeeType</t>
  </si>
  <si>
    <t>雇员类型</t>
  </si>
  <si>
    <t>老板</t>
  </si>
  <si>
    <t>Boss</t>
  </si>
  <si>
    <t>经理/店长</t>
  </si>
  <si>
    <t>Manager</t>
  </si>
  <si>
    <t>员工</t>
  </si>
  <si>
    <t>Employee</t>
  </si>
  <si>
    <t>BuyerRegisterWay</t>
  </si>
  <si>
    <t>买家注册途径</t>
  </si>
  <si>
    <t>后台系统</t>
  </si>
  <si>
    <t>System</t>
  </si>
  <si>
    <t>通路注册</t>
  </si>
  <si>
    <t>Access</t>
  </si>
  <si>
    <t>SNK</t>
  </si>
  <si>
    <t>MSK</t>
  </si>
  <si>
    <t>MarketType</t>
  </si>
  <si>
    <t>菜场类型</t>
  </si>
  <si>
    <t>菜场</t>
  </si>
  <si>
    <t>农贸市场</t>
  </si>
  <si>
    <t>MarketSectionType</t>
  </si>
  <si>
    <t>菜场地段类型</t>
  </si>
  <si>
    <t>近郊</t>
  </si>
  <si>
    <t>远郊</t>
  </si>
  <si>
    <t>FarSuburb</t>
  </si>
  <si>
    <t>乡镇</t>
  </si>
  <si>
    <t>Township</t>
  </si>
  <si>
    <t>MarketLevel</t>
  </si>
  <si>
    <t>批发市场级别</t>
  </si>
  <si>
    <t>未分级</t>
  </si>
  <si>
    <t>None</t>
  </si>
  <si>
    <t>一级批发市场</t>
  </si>
  <si>
    <t>LevelOne</t>
  </si>
  <si>
    <t>二级批发市场</t>
  </si>
  <si>
    <t>LevelTwo</t>
  </si>
  <si>
    <t>三级批发市场</t>
  </si>
  <si>
    <t>ResearchStatus</t>
  </si>
  <si>
    <t>调研状态</t>
  </si>
  <si>
    <t>未调研</t>
  </si>
  <si>
    <t>ResearchType</t>
  </si>
  <si>
    <t>调研类型</t>
  </si>
  <si>
    <t>产品品类需求调研</t>
  </si>
  <si>
    <t>CAT</t>
  </si>
  <si>
    <t>原种种源标准调研</t>
  </si>
  <si>
    <t>ORG</t>
  </si>
  <si>
    <t>加工技术标准调研</t>
  </si>
  <si>
    <t>MCT</t>
  </si>
  <si>
    <t>加工质量标准调研</t>
  </si>
  <si>
    <t>TNC</t>
  </si>
  <si>
    <t>产品饲养标准调研</t>
  </si>
  <si>
    <t>FED</t>
  </si>
  <si>
    <t>通用质量标准调研</t>
  </si>
  <si>
    <t>品种安全标准调研</t>
  </si>
  <si>
    <t>SFT</t>
  </si>
  <si>
    <t>运输储存标准调研</t>
  </si>
  <si>
    <t>TSP</t>
  </si>
  <si>
    <t>产品包装标准调研</t>
  </si>
  <si>
    <t>NOR</t>
  </si>
  <si>
    <t>ByInterfaceToken</t>
  </si>
  <si>
    <t>买家对接接口令牌</t>
  </si>
  <si>
    <t>TeamPosition</t>
  </si>
  <si>
    <t>团队职务</t>
  </si>
  <si>
    <t>公司董事长</t>
  </si>
  <si>
    <t>职务</t>
  </si>
  <si>
    <t>公司总经理</t>
  </si>
  <si>
    <t>公司副总经理</t>
  </si>
  <si>
    <t>销售部经理</t>
  </si>
  <si>
    <t>品控部经理</t>
  </si>
  <si>
    <t>财务部经理</t>
  </si>
  <si>
    <t>销售状态</t>
  </si>
  <si>
    <t>论证中</t>
  </si>
  <si>
    <t>禁止准入</t>
  </si>
  <si>
    <t>试销</t>
  </si>
  <si>
    <t>正式上线</t>
  </si>
  <si>
    <t>下线</t>
  </si>
  <si>
    <t>黑名单</t>
  </si>
  <si>
    <t>缺货中</t>
  </si>
  <si>
    <t>AmountType</t>
  </si>
  <si>
    <t>金额类型</t>
  </si>
  <si>
    <t>付款</t>
  </si>
  <si>
    <t>退款</t>
  </si>
  <si>
    <t>混合</t>
  </si>
  <si>
    <t>RoleType</t>
  </si>
  <si>
    <t>角色信息</t>
  </si>
  <si>
    <t>买家</t>
  </si>
  <si>
    <t>SettlementStatus</t>
  </si>
  <si>
    <t>结算标志</t>
  </si>
  <si>
    <t>平</t>
  </si>
  <si>
    <t>TransFlg</t>
  </si>
  <si>
    <t>交易标志</t>
  </si>
  <si>
    <t>正常</t>
  </si>
  <si>
    <t>交易关闭</t>
  </si>
  <si>
    <t>RefundType</t>
  </si>
  <si>
    <t>退回费用类型</t>
  </si>
  <si>
    <t>退货退款</t>
  </si>
  <si>
    <t>拒收退款</t>
  </si>
  <si>
    <t>PaidType</t>
  </si>
  <si>
    <t>支付方式</t>
  </si>
  <si>
    <t>转账</t>
  </si>
  <si>
    <t>支票</t>
  </si>
  <si>
    <t>冲抵核销</t>
  </si>
  <si>
    <t>BillType</t>
  </si>
  <si>
    <t>计费类型</t>
  </si>
  <si>
    <t>卖家交易计费</t>
  </si>
  <si>
    <t>平台管理费</t>
  </si>
  <si>
    <t>PaidStatus</t>
  </si>
  <si>
    <t>支付状态</t>
  </si>
  <si>
    <t>未支付</t>
  </si>
  <si>
    <t>部分支付</t>
  </si>
  <si>
    <t>已支付</t>
  </si>
  <si>
    <t>TransType</t>
  </si>
  <si>
    <t>交易类型</t>
  </si>
  <si>
    <t>主订单</t>
  </si>
  <si>
    <t>管理费用清单</t>
  </si>
  <si>
    <t>ChargeFlg</t>
  </si>
  <si>
    <t>计费标志</t>
  </si>
  <si>
    <t>未计费</t>
  </si>
  <si>
    <t>已计费</t>
  </si>
  <si>
    <t>MatchVerFlg</t>
  </si>
  <si>
    <t>冲抵核销标志</t>
  </si>
  <si>
    <t>正常收支</t>
  </si>
  <si>
    <t>StatementFlg</t>
  </si>
  <si>
    <t>对账标志</t>
  </si>
  <si>
    <t>可对账</t>
  </si>
  <si>
    <t>已对账</t>
  </si>
  <si>
    <t>挂起</t>
  </si>
  <si>
    <t>ReShipFlg</t>
  </si>
  <si>
    <t>重新发货标志</t>
  </si>
  <si>
    <t>不重新发货</t>
  </si>
  <si>
    <t>重新发货</t>
  </si>
  <si>
    <t>OrderSource</t>
  </si>
  <si>
    <t>订单来源</t>
  </si>
  <si>
    <t>DemandApplyStatus</t>
  </si>
  <si>
    <t>中标状态</t>
  </si>
  <si>
    <t>未投标</t>
  </si>
  <si>
    <t>神农客分销供应链</t>
  </si>
  <si>
    <t>未中标</t>
  </si>
  <si>
    <t>驳回</t>
  </si>
  <si>
    <t>已中标</t>
  </si>
  <si>
    <t>IsConfirm</t>
  </si>
  <si>
    <t>是否确认</t>
  </si>
  <si>
    <t>未申报</t>
  </si>
  <si>
    <t>未确认</t>
  </si>
  <si>
    <t>Role</t>
  </si>
  <si>
    <t>角色</t>
  </si>
  <si>
    <t xml:space="preserve">采购员 </t>
  </si>
  <si>
    <t>供应商</t>
  </si>
  <si>
    <t>SettlementFlg</t>
  </si>
  <si>
    <t>结算状态</t>
  </si>
  <si>
    <t>未结算</t>
  </si>
  <si>
    <t>已结算</t>
  </si>
  <si>
    <t>LoginUserType</t>
  </si>
  <si>
    <t>卖家、供应商</t>
  </si>
  <si>
    <t>OrderBuyerType</t>
  </si>
  <si>
    <t>Untis</t>
  </si>
  <si>
    <t>单位</t>
  </si>
  <si>
    <t>箱</t>
  </si>
  <si>
    <t>产品单位</t>
  </si>
  <si>
    <t>吨</t>
  </si>
  <si>
    <t>COMM_CONFIG</t>
  </si>
  <si>
    <t>系统键</t>
  </si>
  <si>
    <t>系统键值</t>
  </si>
  <si>
    <t>SYSTEM_KEY</t>
  </si>
  <si>
    <t>SYSTEM_VALUE</t>
  </si>
  <si>
    <t>SYSTEM_DESC</t>
  </si>
  <si>
    <t>DELETE FROM `COMM_CONFIG`;</t>
  </si>
  <si>
    <t>sys.env</t>
  </si>
  <si>
    <t>dev</t>
  </si>
  <si>
    <t>系统环境区分</t>
  </si>
  <si>
    <t>dev:开发,test:测试,uat:UAT,prod:正式</t>
  </si>
  <si>
    <t>sys.isDebug</t>
  </si>
  <si>
    <t>调试开关</t>
  </si>
  <si>
    <t>1|true|on:调试开，其他:调试关</t>
  </si>
  <si>
    <t>sys.needAuthCheck</t>
  </si>
  <si>
    <t>权限控制开关</t>
  </si>
  <si>
    <t>1|true|on:权限控制开，其他:关</t>
  </si>
  <si>
    <t>SMS.URL</t>
  </si>
  <si>
    <t>http://sms.api.ums86.com:8899/sms/Api/Send.do</t>
  </si>
  <si>
    <t>短信API地址</t>
  </si>
  <si>
    <t>短信平台</t>
  </si>
  <si>
    <t>SMS.SUPPLIER</t>
  </si>
  <si>
    <t>短信供应商编码</t>
  </si>
  <si>
    <t>SMS.USER</t>
  </si>
  <si>
    <t>短信用户</t>
  </si>
  <si>
    <t>SMS.PWD</t>
  </si>
  <si>
    <t>shennongke123456</t>
  </si>
  <si>
    <t>短信密码</t>
  </si>
  <si>
    <t>ftp.ip</t>
  </si>
  <si>
    <t>121.196.237.87</t>
  </si>
  <si>
    <t>FTP IP</t>
  </si>
  <si>
    <t>ftp.user</t>
  </si>
  <si>
    <t>ftp_user</t>
  </si>
  <si>
    <t>FTP User</t>
  </si>
  <si>
    <t>ftp.pwd</t>
  </si>
  <si>
    <t>FTP PWD</t>
  </si>
  <si>
    <t>ftp.http.url</t>
  </si>
  <si>
    <t>http://t-bms.xianchida.com/msk-image</t>
  </si>
  <si>
    <t>文件服务器http访问url</t>
  </si>
  <si>
    <t>ftp.imageRootPath</t>
  </si>
  <si>
    <t>/msk-image/</t>
  </si>
  <si>
    <t>FTP 图片根目录</t>
  </si>
  <si>
    <t>wms.ftp.ip</t>
  </si>
  <si>
    <t>114.55.4.220</t>
  </si>
  <si>
    <t>仓储物流系统FTP地址</t>
  </si>
  <si>
    <t>wms.ftp.user</t>
  </si>
  <si>
    <t>fuji</t>
  </si>
  <si>
    <t>仓储物流系统FTP用户</t>
  </si>
  <si>
    <t>wms.ftp.pwd</t>
  </si>
  <si>
    <t>fuji123456</t>
  </si>
  <si>
    <t>仓储物流系统FTP密码</t>
  </si>
  <si>
    <t>supplier_dept_id</t>
  </si>
  <si>
    <t>供应商的部门ID固定值设定</t>
  </si>
  <si>
    <t>supplier_role_id</t>
  </si>
  <si>
    <t>供应商的角色ID固定值设定</t>
  </si>
  <si>
    <t>batch.plateUrl</t>
  </si>
  <si>
    <t>http://121.196.237.83:8070/service/service/getPricePlate</t>
  </si>
  <si>
    <t>价盘系统接口</t>
  </si>
  <si>
    <t>batch.wayUrl</t>
  </si>
  <si>
    <t>http://121.196.237.83:8070/service/service/getWayGradeSpec</t>
  </si>
  <si>
    <t>batch.distributeUrl</t>
  </si>
  <si>
    <t>http://121.196.237.83:8070/service/service/getSupDistributeDemand</t>
  </si>
  <si>
    <t>价盘系统接口获取供应商分销计划</t>
  </si>
  <si>
    <t>file.server.upload</t>
  </si>
  <si>
    <t>http://t-file.xianchida.com/_upload</t>
  </si>
  <si>
    <t>文件上传</t>
  </si>
  <si>
    <t>file.server</t>
  </si>
  <si>
    <t>http://t-file.xianchida.com/_download</t>
  </si>
  <si>
    <t>获得文件</t>
  </si>
  <si>
    <t>sso.url.outside</t>
  </si>
  <si>
    <t>http://localhost:8080/msk-web</t>
  </si>
  <si>
    <t>SSO站点外网地址</t>
  </si>
  <si>
    <t>单点登录</t>
  </si>
  <si>
    <t>外网地址用于页面中，从客户端调用时使用</t>
  </si>
  <si>
    <t>sso.url.inside</t>
  </si>
  <si>
    <t>SSO站点内网地址</t>
  </si>
  <si>
    <t>内网地址用于后台程序中的接口调用</t>
  </si>
  <si>
    <t>http.proxyHost</t>
  </si>
  <si>
    <t>HTTP正向代理主机IP（没有代理时不要设）</t>
  </si>
  <si>
    <t>短信服务</t>
  </si>
  <si>
    <t>http.proxyPort</t>
  </si>
  <si>
    <t>HTTP正向代理主机端口（没有代理时不要设）</t>
  </si>
  <si>
    <t>web.server.url</t>
  </si>
  <si>
    <t>后台系统站点地址</t>
  </si>
  <si>
    <t>api.url.inside</t>
  </si>
  <si>
    <t>后台系统内部接口内网地址</t>
  </si>
  <si>
    <t>用户权限</t>
  </si>
  <si>
    <t>test</t>
  </si>
  <si>
    <t>10.47.73.104</t>
  </si>
  <si>
    <t>10.47.58.129</t>
  </si>
  <si>
    <t>http://10.47.73.105:8070/service/service/getPricePlate</t>
  </si>
  <si>
    <t>http://10.47.73.105:8070/service/service/getWayGradeSpec</t>
  </si>
  <si>
    <t>http://10.47.73.105:8070/service/service/getSupDistributeDemand</t>
  </si>
  <si>
    <t>后台系统站点外网地址</t>
  </si>
  <si>
    <t>uat</t>
  </si>
  <si>
    <t>10.47.108.47</t>
  </si>
  <si>
    <t>uat_ftp</t>
  </si>
  <si>
    <t>UatFtp123</t>
  </si>
  <si>
    <t>http://u-bms.xianchida.com/msk-image</t>
  </si>
  <si>
    <t>10.47.63.18</t>
  </si>
  <si>
    <t>FUJI</t>
  </si>
  <si>
    <t>m4n123</t>
  </si>
  <si>
    <t>http://10.24.36.110/snkbid/service/service/getPricePlate</t>
  </si>
  <si>
    <t>http://10.24.36.110/snkbid/service/service/getWayGradeSpec</t>
  </si>
  <si>
    <t>http://10.24.36.110/snkbid/service/service/getSupDistributeDemand</t>
  </si>
  <si>
    <t>http://u-file.xianchida.com/_upload</t>
  </si>
  <si>
    <t>http://u-file.xianchida.com/_download</t>
  </si>
  <si>
    <t>内网地址用于后台程序中的接口调用(nginx反向代理)</t>
  </si>
  <si>
    <t>10.45.21.248</t>
  </si>
  <si>
    <t>prod</t>
  </si>
  <si>
    <t>10.20.10.2</t>
  </si>
  <si>
    <t>FileUser123</t>
  </si>
  <si>
    <t>http://bms.xianchida.com/msk-image</t>
  </si>
  <si>
    <t>10.20.10.111</t>
  </si>
  <si>
    <t>http://10.20.10.103:8080/service/service/getPricePlate</t>
  </si>
  <si>
    <t>http://10.20.10.103:8080/service/service/getWayGradeSpec</t>
  </si>
  <si>
    <t>http://10.20.10.103:8080/service/service/getSupDistributeDemand</t>
  </si>
  <si>
    <t>http://file.xianchida.com/_upload</t>
  </si>
  <si>
    <t>http://file.xianchida.com/_download</t>
  </si>
  <si>
    <t>10.20.10.100</t>
  </si>
  <si>
    <t>nginx正向代理</t>
  </si>
  <si>
    <t>http://bms.xianchida.com/bms</t>
  </si>
  <si>
    <t>(卖家供应链-&gt;分销数量表)</t>
  </si>
  <si>
    <t>org</t>
    <phoneticPr fontId="14" type="noConversion"/>
  </si>
  <si>
    <t>D:\org_data.sql</t>
    <phoneticPr fontId="14" type="noConversion"/>
  </si>
  <si>
    <t xml:space="preserve">部分分销 </t>
  </si>
  <si>
    <t>api.url.searchPrice</t>
    <phoneticPr fontId="14" type="noConversion"/>
  </si>
  <si>
    <t>查询箱价接口地址</t>
    <phoneticPr fontId="14" type="noConversion"/>
  </si>
  <si>
    <t>BATCH_DEFINITION</t>
    <phoneticPr fontId="14" type="noConversion"/>
  </si>
  <si>
    <t>BATCH_CODE</t>
    <phoneticPr fontId="14" type="noConversion"/>
  </si>
  <si>
    <t>BATCH_NAME</t>
    <phoneticPr fontId="14" type="noConversion"/>
  </si>
  <si>
    <t>RUN_FREQUENCY</t>
    <phoneticPr fontId="14" type="noConversion"/>
  </si>
  <si>
    <t>DELETE FROM `BATCH_DEFINITION`;</t>
    <phoneticPr fontId="14" type="noConversion"/>
  </si>
  <si>
    <t>BBP112213</t>
    <phoneticPr fontId="14" type="noConversion"/>
  </si>
  <si>
    <t>BBS1101101</t>
    <phoneticPr fontId="14" type="noConversion"/>
  </si>
  <si>
    <t>BPD141101</t>
    <phoneticPr fontId="14" type="noConversion"/>
  </si>
  <si>
    <t>BPD141102</t>
    <phoneticPr fontId="14" type="noConversion"/>
  </si>
  <si>
    <t>BSO152401</t>
    <phoneticPr fontId="14" type="noConversion"/>
  </si>
  <si>
    <t>BSO152402</t>
    <phoneticPr fontId="14" type="noConversion"/>
  </si>
  <si>
    <t>BSO152403</t>
    <phoneticPr fontId="14" type="noConversion"/>
  </si>
  <si>
    <t>BSO152404</t>
    <phoneticPr fontId="14" type="noConversion"/>
  </si>
  <si>
    <t>BSO152405</t>
    <phoneticPr fontId="14" type="noConversion"/>
  </si>
  <si>
    <t>BSP171101</t>
    <phoneticPr fontId="14" type="noConversion"/>
  </si>
  <si>
    <t>BSP171102</t>
    <phoneticPr fontId="14" type="noConversion"/>
  </si>
  <si>
    <t>BSP171103</t>
    <phoneticPr fontId="14" type="noConversion"/>
  </si>
  <si>
    <t>美侍客卖家产品价盘生成批处理</t>
    <phoneticPr fontId="14" type="noConversion"/>
  </si>
  <si>
    <t>到期冻品管家的买家处理Batch</t>
    <phoneticPr fontId="14" type="noConversion"/>
  </si>
  <si>
    <t>分销价盘同步Batch</t>
    <phoneticPr fontId="14" type="noConversion"/>
  </si>
  <si>
    <t>订单等级通道同步batch</t>
    <phoneticPr fontId="14" type="noConversion"/>
  </si>
  <si>
    <t>销售排行Batch</t>
    <phoneticPr fontId="14" type="noConversion"/>
  </si>
  <si>
    <t>分单Batch</t>
    <phoneticPr fontId="14" type="noConversion"/>
  </si>
  <si>
    <t>WMS 配送单生成XMLBatch</t>
    <phoneticPr fontId="14" type="noConversion"/>
  </si>
  <si>
    <t>买手囤货订单库存调拨</t>
    <phoneticPr fontId="14" type="noConversion"/>
  </si>
  <si>
    <t>退货单Batch生成XML</t>
    <phoneticPr fontId="14" type="noConversion"/>
  </si>
  <si>
    <t>神龙客价盘生成Batch</t>
    <phoneticPr fontId="14" type="noConversion"/>
  </si>
  <si>
    <t>需求预测Batch</t>
    <phoneticPr fontId="14" type="noConversion"/>
  </si>
  <si>
    <t>物流区产品同步Batch</t>
    <phoneticPr fontId="14" type="noConversion"/>
  </si>
  <si>
    <t>表名</t>
    <phoneticPr fontId="14" type="noConversion"/>
  </si>
  <si>
    <t>LoginUserType</t>
    <phoneticPr fontId="14" type="noConversion"/>
  </si>
  <si>
    <t>api.url.searchPrintOrder</t>
    <phoneticPr fontId="14" type="noConversion"/>
  </si>
  <si>
    <t>api.url.printOrder</t>
    <phoneticPr fontId="14" type="noConversion"/>
  </si>
  <si>
    <t>查询打印订单详细信息接口地址</t>
  </si>
  <si>
    <t>打印订单详细信息接口地址</t>
  </si>
  <si>
    <t>http://localhost:8080/msk-web</t>
    <phoneticPr fontId="14" type="noConversion"/>
  </si>
  <si>
    <t>http://localhost:8090/msk-snk-price/api/sp/getPriceBox</t>
    <phoneticPr fontId="14" type="noConversion"/>
  </si>
  <si>
    <t>PDF报表打印</t>
    <phoneticPr fontId="14" type="noConversion"/>
  </si>
  <si>
    <t>http://localhost:8080/msk-web/api/v1/so/detail/print</t>
    <phoneticPr fontId="14" type="noConversion"/>
  </si>
  <si>
    <t>http://localhost:9390/msk-print/print/pdf/order/PDF000001</t>
    <phoneticPr fontId="14" type="noConversion"/>
  </si>
  <si>
    <t>http://u-bms.xianchida.com/msk-print/print/pdf/order/PDF000001</t>
    <phoneticPr fontId="14" type="noConversion"/>
  </si>
  <si>
    <t>全物流区</t>
  </si>
  <si>
    <t>本地区(城市)</t>
  </si>
  <si>
    <t>本区(县)</t>
  </si>
  <si>
    <t>二批、三批分销商</t>
  </si>
  <si>
    <t>综合农贸市场买家</t>
  </si>
  <si>
    <t>用户</t>
  </si>
  <si>
    <t>单一产品买家</t>
  </si>
  <si>
    <t>组合产品买家</t>
  </si>
  <si>
    <t>综合产品买家</t>
  </si>
  <si>
    <t>综合（冻品类)</t>
  </si>
  <si>
    <t>非综合（冻品类）</t>
  </si>
  <si>
    <t>综合（常温产品类)</t>
  </si>
  <si>
    <t>非综合（常温产品类）</t>
  </si>
  <si>
    <t>商户类型</t>
  </si>
  <si>
    <t>MerchantType</t>
  </si>
  <si>
    <t>批发市场性质</t>
  </si>
  <si>
    <t>TerminalMarketNature</t>
  </si>
  <si>
    <t>面向买家</t>
  </si>
  <si>
    <t>FaceBuyerType</t>
  </si>
  <si>
    <t>AllLogisarea</t>
  </si>
  <si>
    <t>LocalCity</t>
  </si>
  <si>
    <t>LOCAL_COUNTRY</t>
  </si>
  <si>
    <t>MarketDistributor</t>
  </si>
  <si>
    <t>CHAMarketBuyers</t>
  </si>
  <si>
    <t>User</t>
  </si>
  <si>
    <t>SinglePdBuyers</t>
  </si>
  <si>
    <t>PortfolioPdBuyers</t>
  </si>
  <si>
    <t>IntegratePdBuyers</t>
  </si>
  <si>
    <t>IntegrateFrozen</t>
  </si>
  <si>
    <t>UIntegrateFrozen</t>
  </si>
  <si>
    <t>IntegrateNormalTem</t>
  </si>
  <si>
    <t>UIntegrateNormalTem</t>
  </si>
  <si>
    <t>市场审批状态</t>
  </si>
  <si>
    <t>MarketApproveStatus</t>
  </si>
  <si>
    <t>未审批</t>
  </si>
  <si>
    <t>是否目标买家</t>
  </si>
  <si>
    <t>TargetMarketBuyer</t>
  </si>
  <si>
    <t>目标买家</t>
  </si>
  <si>
    <t>非目标买家</t>
  </si>
  <si>
    <t>菜场辐射范围</t>
  </si>
  <si>
    <t>FoodRadiationRange</t>
  </si>
  <si>
    <t>周边居民</t>
  </si>
  <si>
    <t>本区(县)1/4或以上区域</t>
  </si>
  <si>
    <t>市场买家定价平均水平</t>
  </si>
  <si>
    <t>AverageMarketPrice</t>
  </si>
  <si>
    <t>本区(县)平均水平</t>
  </si>
  <si>
    <t>较本区(县)平均水平低2%-3%</t>
  </si>
  <si>
    <t>MarketNotApprove</t>
  </si>
  <si>
    <t>MarketApproved</t>
  </si>
  <si>
    <t>TargetBuyer</t>
  </si>
  <si>
    <t>NTargetBuyer</t>
  </si>
  <si>
    <t>Surround</t>
  </si>
  <si>
    <t>FoodCounty</t>
  </si>
  <si>
    <t>DistrictAverage</t>
  </si>
  <si>
    <t>LowDistrictAverage</t>
  </si>
  <si>
    <t>http://10.45.21.248/msk-web/api/v1/so/detail/print</t>
    <phoneticPr fontId="14" type="noConversion"/>
  </si>
  <si>
    <t>卖家/供应商</t>
    <phoneticPr fontId="14" type="noConversion"/>
  </si>
  <si>
    <t>/xcdhome/temp</t>
    <phoneticPr fontId="14" type="noConversion"/>
  </si>
  <si>
    <t>临时文件目录</t>
    <phoneticPr fontId="14" type="noConversion"/>
  </si>
  <si>
    <t>temp.file.localpath</t>
    <phoneticPr fontId="14" type="noConversion"/>
  </si>
  <si>
    <t>共通</t>
    <phoneticPr fontId="14" type="noConversion"/>
  </si>
  <si>
    <t>存放临时文件</t>
    <phoneticPr fontId="14" type="noConversion"/>
  </si>
  <si>
    <t>D:\xcdhome\temp</t>
    <phoneticPr fontId="14" type="noConversion"/>
  </si>
  <si>
    <t>BidStatus</t>
  </si>
  <si>
    <t>中标确认书状态</t>
  </si>
  <si>
    <t>待确认</t>
  </si>
  <si>
    <t>卖家采供链</t>
  </si>
  <si>
    <t>采购商已确认</t>
  </si>
  <si>
    <t>生产商已确认</t>
  </si>
  <si>
    <t>执行中</t>
  </si>
  <si>
    <t>已结束</t>
  </si>
  <si>
    <t>已取消</t>
  </si>
  <si>
    <t>SscOrderStatus</t>
  </si>
  <si>
    <t>订单合同状态</t>
  </si>
  <si>
    <t>采购商已审核</t>
  </si>
  <si>
    <t>生产商已审核</t>
  </si>
  <si>
    <t>已生效</t>
  </si>
  <si>
    <t>部分完成</t>
  </si>
  <si>
    <t>全部完成</t>
  </si>
  <si>
    <t>废弃</t>
  </si>
  <si>
    <t>PacSupplyMode</t>
  </si>
  <si>
    <t>包材提供方式</t>
  </si>
  <si>
    <t>甲供</t>
  </si>
  <si>
    <t>乙供</t>
  </si>
  <si>
    <t>PacAuditMode</t>
  </si>
  <si>
    <t>包材审核方式</t>
  </si>
  <si>
    <t>寄送样品审核</t>
  </si>
  <si>
    <t>到货审核</t>
  </si>
  <si>
    <t>PacPaymentMode</t>
  </si>
  <si>
    <t>包材结算方式</t>
  </si>
  <si>
    <t>产品价内</t>
  </si>
  <si>
    <t>产品价外</t>
  </si>
  <si>
    <t>DeliveryOrderStatus</t>
  </si>
  <si>
    <t>发货订单状态</t>
  </si>
  <si>
    <t>甲方已审批</t>
  </si>
  <si>
    <t>双方已确认</t>
  </si>
  <si>
    <t>DeliveryConfirmStatus</t>
  </si>
  <si>
    <t>发货确认单状态</t>
  </si>
  <si>
    <t>待仓库确认</t>
  </si>
  <si>
    <t>待生产商确认</t>
  </si>
  <si>
    <t>已完成</t>
  </si>
  <si>
    <t>ProductRecvStatus</t>
  </si>
  <si>
    <t>预入库通知单状态</t>
  </si>
  <si>
    <t>在途</t>
  </si>
  <si>
    <t>SscPaymentType</t>
  </si>
  <si>
    <t>进度款</t>
  </si>
  <si>
    <t>PaymentStatus</t>
  </si>
  <si>
    <t>部分付款</t>
  </si>
  <si>
    <t>全部付款</t>
  </si>
  <si>
    <t>ApproveResult</t>
  </si>
  <si>
    <t>审批结果</t>
  </si>
  <si>
    <t xml:space="preserve">AuditResult </t>
  </si>
  <si>
    <t>EarlyWarnPeriod</t>
  </si>
  <si>
    <t>api.url.sellerCharging</t>
    <phoneticPr fontId="14" type="noConversion"/>
  </si>
  <si>
    <t>api.url.transaction</t>
    <phoneticPr fontId="14" type="noConversion"/>
  </si>
  <si>
    <t>http://10.20.16.152:8888/msk-so-cp/api/cp/transaction</t>
    <phoneticPr fontId="14" type="noConversion"/>
  </si>
  <si>
    <t>卖家计费项接口地址</t>
    <phoneticPr fontId="14" type="noConversion"/>
  </si>
  <si>
    <t>交易明细接口地址</t>
    <phoneticPr fontId="14" type="noConversion"/>
  </si>
  <si>
    <t>订单模块</t>
    <phoneticPr fontId="14" type="noConversion"/>
  </si>
  <si>
    <t>调用资金池接口</t>
    <phoneticPr fontId="14" type="noConversion"/>
  </si>
  <si>
    <t>http://10.45.21.248/msk-so-cp/api/cp/transaction</t>
    <phoneticPr fontId="14" type="noConversion"/>
  </si>
  <si>
    <t>OnlineBanking</t>
    <phoneticPr fontId="14" type="noConversion"/>
  </si>
  <si>
    <t>seller.server</t>
    <phoneticPr fontId="14" type="noConversion"/>
  </si>
  <si>
    <t>对应sso卖家跳主画面</t>
    <phoneticPr fontId="14" type="noConversion"/>
  </si>
  <si>
    <t>新卖家模块</t>
    <phoneticPr fontId="14" type="noConversion"/>
  </si>
  <si>
    <t>卖家系统地址</t>
    <phoneticPr fontId="14" type="noConversion"/>
  </si>
  <si>
    <t>http://bms.xianchida.com/sso</t>
    <phoneticPr fontId="14" type="noConversion"/>
  </si>
  <si>
    <t>http://10.45.21.248/msk-so-cp/api/cp/sellerCharging</t>
    <phoneticPr fontId="14" type="noConversion"/>
  </si>
  <si>
    <t>org.server</t>
    <phoneticPr fontId="14" type="noConversion"/>
  </si>
  <si>
    <t>org-server地址</t>
  </si>
  <si>
    <t>org-server地址</t>
    <phoneticPr fontId="14" type="noConversion"/>
  </si>
  <si>
    <t>SSP</t>
    <phoneticPr fontId="14" type="noConversion"/>
  </si>
  <si>
    <t>http://10.20.16.83:8880/msk-seller</t>
    <phoneticPr fontId="14" type="noConversion"/>
  </si>
  <si>
    <t>http://10.20.16.83:8880/msk-org</t>
    <phoneticPr fontId="14" type="noConversion"/>
  </si>
  <si>
    <t>http://10.171.246.164/msk-seller</t>
    <phoneticPr fontId="14" type="noConversion"/>
  </si>
  <si>
    <t>已开票</t>
  </si>
  <si>
    <t>已接收发票</t>
  </si>
  <si>
    <t>审批未通过</t>
  </si>
  <si>
    <t>审核未通过</t>
  </si>
  <si>
    <t>未审核</t>
  </si>
  <si>
    <t>甲方已确认</t>
  </si>
  <si>
    <t>乙方已确认</t>
  </si>
  <si>
    <t>ShipCancleReason</t>
  </si>
  <si>
    <t>发货取消原因</t>
  </si>
  <si>
    <t>客户取消</t>
  </si>
  <si>
    <t>库存不足</t>
  </si>
  <si>
    <t>其他原因</t>
  </si>
  <si>
    <t>全部退货</t>
  </si>
  <si>
    <t>ShipStatus</t>
  </si>
  <si>
    <t>订单发货单状态</t>
  </si>
  <si>
    <t>全部迟收</t>
  </si>
  <si>
    <t>待取消</t>
  </si>
  <si>
    <t>取消中</t>
  </si>
  <si>
    <t>迟收成功</t>
  </si>
  <si>
    <t>银行用户</t>
    <phoneticPr fontId="14" type="noConversion"/>
  </si>
  <si>
    <t>员工</t>
    <phoneticPr fontId="14" type="noConversion"/>
  </si>
  <si>
    <t>http://u-bms.xianchida.com/msk-sso-server</t>
    <phoneticPr fontId="14" type="noConversion"/>
  </si>
  <si>
    <t>http://u-bms.xianchida.com/msk-web</t>
    <phoneticPr fontId="14" type="noConversion"/>
  </si>
  <si>
    <t>api.url.searchPrice</t>
    <phoneticPr fontId="14" type="noConversion"/>
  </si>
  <si>
    <t>http://10.45.21.248/msk-snk-price/api/sp/getPriceBox</t>
    <phoneticPr fontId="14" type="noConversion"/>
  </si>
  <si>
    <t>查询箱价接口地址</t>
    <phoneticPr fontId="14" type="noConversion"/>
  </si>
  <si>
    <t>api.url.searchPrintOrder</t>
    <phoneticPr fontId="14" type="noConversion"/>
  </si>
  <si>
    <t>api.url.printOrder</t>
    <phoneticPr fontId="14" type="noConversion"/>
  </si>
  <si>
    <t>temp.file.localpath</t>
    <phoneticPr fontId="14" type="noConversion"/>
  </si>
  <si>
    <t>临时文件目录</t>
    <phoneticPr fontId="14" type="noConversion"/>
  </si>
  <si>
    <t>共通</t>
    <phoneticPr fontId="14" type="noConversion"/>
  </si>
  <si>
    <t>存放临时文件</t>
    <phoneticPr fontId="14" type="noConversion"/>
  </si>
  <si>
    <t>api.url.sellerCharging</t>
    <phoneticPr fontId="14" type="noConversion"/>
  </si>
  <si>
    <t>订单模块</t>
    <phoneticPr fontId="14" type="noConversion"/>
  </si>
  <si>
    <t>调用资金池接口</t>
    <phoneticPr fontId="14" type="noConversion"/>
  </si>
  <si>
    <t>api.url.transaction</t>
    <phoneticPr fontId="14" type="noConversion"/>
  </si>
  <si>
    <t>seller.server</t>
    <phoneticPr fontId="14" type="noConversion"/>
  </si>
  <si>
    <t>http://10.45.21.248/msk-seller</t>
    <phoneticPr fontId="14" type="noConversion"/>
  </si>
  <si>
    <t>卖家系统地址</t>
    <phoneticPr fontId="14" type="noConversion"/>
  </si>
  <si>
    <t>新卖家模块</t>
    <phoneticPr fontId="14" type="noConversion"/>
  </si>
  <si>
    <t>对应sso卖家跳主画面</t>
    <phoneticPr fontId="14" type="noConversion"/>
  </si>
  <si>
    <t>org-server地址</t>
    <phoneticPr fontId="14" type="noConversion"/>
  </si>
  <si>
    <t>SSP</t>
    <phoneticPr fontId="14" type="noConversion"/>
  </si>
  <si>
    <t>http://t-bms.xianchida.com/msk-sso-server</t>
    <phoneticPr fontId="14" type="noConversion"/>
  </si>
  <si>
    <t>http://t-bms.xianchida.com/msk-web</t>
    <phoneticPr fontId="14" type="noConversion"/>
  </si>
  <si>
    <t>http://10.171.246.164/msk-snk-price/api/sp/getPriceBox</t>
    <phoneticPr fontId="14" type="noConversion"/>
  </si>
  <si>
    <t>http://10.171.246.164/msk-web/api/v1/so/detail/print</t>
    <phoneticPr fontId="14" type="noConversion"/>
  </si>
  <si>
    <t>http://10.171.246.164/msk-so-cp/api/cp/transaction</t>
    <phoneticPr fontId="14" type="noConversion"/>
  </si>
  <si>
    <t>http://10.171.246.164/msk-org</t>
    <phoneticPr fontId="14" type="noConversion"/>
  </si>
  <si>
    <r>
      <t>http://10.20.10.100/</t>
    </r>
    <r>
      <rPr>
        <sz val="10"/>
        <rFont val="宋体"/>
        <family val="3"/>
        <charset val="134"/>
        <scheme val="minor"/>
      </rPr>
      <t>bms-snk-price/api/sp/getPriceBox</t>
    </r>
    <phoneticPr fontId="14" type="noConversion"/>
  </si>
  <si>
    <t>http://10.20.10.100/bms/api/v1/so/detail/print</t>
    <phoneticPr fontId="14" type="noConversion"/>
  </si>
  <si>
    <t>http://bms.xianchida.com/print-server/print/pdf/order/PDF000001</t>
    <phoneticPr fontId="14" type="noConversion"/>
  </si>
  <si>
    <t>http://10.20.10.100/bms-so-cp/api/cp/sellerCharging</t>
    <phoneticPr fontId="14" type="noConversion"/>
  </si>
  <si>
    <t>http://10.20.10.100/bms-so-cp/api/cp/transaction</t>
    <phoneticPr fontId="14" type="noConversion"/>
  </si>
  <si>
    <t>http://10.20.10.100/bms-seller</t>
    <phoneticPr fontId="14" type="noConversion"/>
  </si>
  <si>
    <t>VIP GUEST</t>
    <phoneticPr fontId="14" type="noConversion"/>
  </si>
  <si>
    <t>FreightSettleMethod</t>
  </si>
  <si>
    <t>运费结算方式</t>
  </si>
  <si>
    <t>到岸价</t>
  </si>
  <si>
    <t>离岸价价内结算</t>
  </si>
  <si>
    <t>离岸价价外代付结算</t>
  </si>
  <si>
    <t>独立第三方支付</t>
  </si>
  <si>
    <t>Subject</t>
  </si>
  <si>
    <t>付款科目</t>
  </si>
  <si>
    <t>货款</t>
  </si>
  <si>
    <t>运费</t>
  </si>
  <si>
    <t>api.url.printDs</t>
    <phoneticPr fontId="14" type="noConversion"/>
  </si>
  <si>
    <t>http://10.20.16.83:8884/msk-print/print/pdf/ds/</t>
    <phoneticPr fontId="14" type="noConversion"/>
  </si>
  <si>
    <t>打印发货入库单详细信息接口地址</t>
    <phoneticPr fontId="14" type="noConversion"/>
  </si>
  <si>
    <t>平台供应链</t>
    <phoneticPr fontId="14" type="noConversion"/>
  </si>
  <si>
    <t>http://t-bms.xianchida.com/msk-print/print/pdf/ds/</t>
    <phoneticPr fontId="14" type="noConversion"/>
  </si>
  <si>
    <t>http://u-bms.xianchida.com/msk-print/print/pdf/ds/</t>
    <phoneticPr fontId="14" type="noConversion"/>
  </si>
  <si>
    <t>http://bms.xianchida.com/print-server/print/pdf/ds/</t>
    <phoneticPr fontId="14" type="noConversion"/>
  </si>
  <si>
    <t>api.url.searchPrintDelivery</t>
    <phoneticPr fontId="14" type="noConversion"/>
  </si>
  <si>
    <t>http://10.30.10.13:8080/msk-web/api/v1/deliveryDetail/pdf/print</t>
    <phoneticPr fontId="14" type="noConversion"/>
  </si>
  <si>
    <t>查询打印发货入库单详细信息接口地址</t>
    <phoneticPr fontId="14" type="noConversion"/>
  </si>
  <si>
    <t>http://10.171.246.164/msk-so-cp/api/cp/sellerCharging</t>
    <phoneticPr fontId="14" type="noConversion"/>
  </si>
  <si>
    <t>http://10.171.246.164/msk-web/api/v1/deliveryDetail/pdf/print</t>
    <phoneticPr fontId="14" type="noConversion"/>
  </si>
  <si>
    <t>http://10.45.21.248/msk-org</t>
    <phoneticPr fontId="14" type="noConversion"/>
  </si>
  <si>
    <t>http://10.45.21.248/msk-web/api/v1/deliveryDetail/pdf/print</t>
    <phoneticPr fontId="14" type="noConversion"/>
  </si>
  <si>
    <t>http://10.20.10.100/org-server</t>
    <phoneticPr fontId="14" type="noConversion"/>
  </si>
  <si>
    <t>http://10.20.10.100/bms/api/v1/deliveryDetail/pdf/print</t>
    <phoneticPr fontId="14" type="noConversion"/>
  </si>
  <si>
    <t>现场拒收</t>
  </si>
  <si>
    <t>平台退货</t>
  </si>
  <si>
    <t>api.url.getBuyerCode</t>
    <phoneticPr fontId="14" type="noConversion"/>
  </si>
  <si>
    <t>api.url.getBuyerId</t>
    <phoneticPr fontId="14" type="noConversion"/>
  </si>
  <si>
    <t>http://10.20.16.83:8884/msk-buyers/api/by/buyerCodeWithRingCode/query</t>
    <phoneticPr fontId="14" type="noConversion"/>
  </si>
  <si>
    <t>http://10.20.16.83:8884/msk-buyers/api/by/buyerId/queryByBuyerCode</t>
    <phoneticPr fontId="14" type="noConversion"/>
  </si>
  <si>
    <t>查询(环标码)买家编码接口</t>
  </si>
  <si>
    <t>查询(环标码)买家编码接口</t>
    <phoneticPr fontId="14" type="noConversion"/>
  </si>
  <si>
    <t>通过买家编码查询买家ID</t>
  </si>
  <si>
    <t>通过买家编码查询买家ID</t>
    <phoneticPr fontId="14" type="noConversion"/>
  </si>
  <si>
    <t>订单模块</t>
    <phoneticPr fontId="14" type="noConversion"/>
  </si>
  <si>
    <t>http://10.171.246.164/msk-buyers/api/by/buyerCodeWithRingCode/query</t>
    <phoneticPr fontId="14" type="noConversion"/>
  </si>
  <si>
    <t>http://10.171.246.164/msk-buyers/api/by/buyerId/queryByBuyerCode</t>
    <phoneticPr fontId="14" type="noConversion"/>
  </si>
  <si>
    <t>http://10.45.21.248/msk-buyers/api/by/buyerCodeWithRingCode/query</t>
    <phoneticPr fontId="14" type="noConversion"/>
  </si>
  <si>
    <t>http://10.45.21.248/msk-buyers/api/by/buyerId/queryByBuyerCode</t>
    <phoneticPr fontId="14" type="noConversion"/>
  </si>
  <si>
    <t>http://10.20.10.100/bms-buyers/api/by/buyerId/queryByBuyerCode</t>
    <phoneticPr fontId="14" type="noConversion"/>
  </si>
  <si>
    <t>http://10.20.10.100/bms-buyers/api/by/buyerCodeWithRingCode/query</t>
    <phoneticPr fontId="14" type="noConversion"/>
  </si>
  <si>
    <t>系统管理员</t>
    <phoneticPr fontId="14" type="noConversion"/>
  </si>
  <si>
    <t>采购入库</t>
  </si>
  <si>
    <t>调整入库</t>
  </si>
  <si>
    <t>退货入库</t>
  </si>
  <si>
    <t>样品入库</t>
  </si>
  <si>
    <t>销售出库</t>
  </si>
  <si>
    <t>调整出库</t>
  </si>
  <si>
    <t>退货出库</t>
  </si>
  <si>
    <t>样品出库</t>
  </si>
  <si>
    <t>卖家占用</t>
  </si>
  <si>
    <t>供应商占用</t>
  </si>
  <si>
    <t>卖家占用减少</t>
  </si>
  <si>
    <t>供应商占用减少</t>
  </si>
  <si>
    <t>买手囤货</t>
  </si>
  <si>
    <t>出库取消</t>
  </si>
  <si>
    <t>favorites.url</t>
    <phoneticPr fontId="14" type="noConversion"/>
  </si>
  <si>
    <t>收藏夹地址</t>
    <phoneticPr fontId="14" type="noConversion"/>
  </si>
  <si>
    <t>收藏夹服务地址</t>
    <phoneticPr fontId="14" type="noConversion"/>
  </si>
  <si>
    <t>http://10.20.16.91:9091/msk-favorites</t>
    <phoneticPr fontId="14" type="noConversion"/>
  </si>
  <si>
    <t>http://10.45.21.248/msk-favorites</t>
    <phoneticPr fontId="14" type="noConversion"/>
  </si>
  <si>
    <t>http://10.171.246.164/msk-favorites</t>
    <phoneticPr fontId="14" type="noConversion"/>
  </si>
  <si>
    <t>http://10.20.10.100/favorites-server</t>
    <phoneticPr fontId="14" type="noConversion"/>
  </si>
  <si>
    <t>isCheckPasswordTimeSeries.flag</t>
    <phoneticPr fontId="14" type="noConversion"/>
  </si>
  <si>
    <t>密码是否会过期开关</t>
    <phoneticPr fontId="14" type="noConversion"/>
  </si>
  <si>
    <t>isForceModifyPassword.flag</t>
    <phoneticPr fontId="14" type="noConversion"/>
  </si>
  <si>
    <t>isInitPassword.flag</t>
    <phoneticPr fontId="14" type="noConversion"/>
  </si>
  <si>
    <t>false</t>
    <phoneticPr fontId="14" type="noConversion"/>
  </si>
  <si>
    <t>true</t>
    <phoneticPr fontId="14" type="noConversion"/>
  </si>
  <si>
    <t>是否强制修改密码</t>
    <phoneticPr fontId="14" type="noConversion"/>
  </si>
  <si>
    <t>是否初始化密码开关</t>
    <phoneticPr fontId="14" type="noConversion"/>
  </si>
  <si>
    <t>员工登录密码</t>
    <phoneticPr fontId="14" type="noConversion"/>
  </si>
  <si>
    <t>SixToEight</t>
  </si>
  <si>
    <t>EightToTen</t>
  </si>
  <si>
    <t>TenToTwelve</t>
  </si>
  <si>
    <t>TwelveToFourteen</t>
  </si>
  <si>
    <t>FourteenToSixteen</t>
  </si>
  <si>
    <t>SixteenToEighteen</t>
  </si>
  <si>
    <t>EighteenToTwenty</t>
  </si>
  <si>
    <t>TwentyToTwentyTwo</t>
  </si>
  <si>
    <t>TwentyTwoToTwentyFour</t>
  </si>
  <si>
    <t>ZeroToTwo</t>
  </si>
  <si>
    <t>TwoToFour</t>
  </si>
  <si>
    <t>FourToSix</t>
  </si>
  <si>
    <t>ReaderStatus</t>
    <phoneticPr fontId="14" type="noConversion"/>
  </si>
  <si>
    <t>NoticeType</t>
    <phoneticPr fontId="14" type="noConversion"/>
  </si>
  <si>
    <t>通知查看状态</t>
    <phoneticPr fontId="14" type="noConversion"/>
  </si>
  <si>
    <t>通知类型</t>
    <phoneticPr fontId="14" type="noConversion"/>
  </si>
  <si>
    <t>系统通知</t>
    <phoneticPr fontId="14" type="noConversion"/>
  </si>
  <si>
    <t>已读</t>
    <phoneticPr fontId="14" type="noConversion"/>
  </si>
  <si>
    <t>未读</t>
    <phoneticPr fontId="14" type="noConversion"/>
  </si>
  <si>
    <t>共通-SSO</t>
    <phoneticPr fontId="14" type="noConversion"/>
  </si>
  <si>
    <t>共通-全体</t>
    <phoneticPr fontId="14" type="noConversion"/>
  </si>
  <si>
    <t>共通-基础数据</t>
  </si>
  <si>
    <t>共通-基础数据</t>
    <phoneticPr fontId="14" type="noConversion"/>
  </si>
  <si>
    <t>api.url.getPriceWay</t>
    <phoneticPr fontId="14" type="noConversion"/>
  </si>
  <si>
    <t>http://10.20.16.83:8884/msk-snk-price/api/pd/getPriceWayList</t>
    <phoneticPr fontId="14" type="noConversion"/>
  </si>
  <si>
    <t>获得价盘通道信息接口</t>
    <phoneticPr fontId="14" type="noConversion"/>
  </si>
  <si>
    <t>订单模块</t>
    <phoneticPr fontId="14" type="noConversion"/>
  </si>
  <si>
    <t>订单模块</t>
    <phoneticPr fontId="14" type="noConversion"/>
  </si>
  <si>
    <t>http://10.171.246.164/msk-snk-price/api/pd/getPriceWayList</t>
    <phoneticPr fontId="14" type="noConversion"/>
  </si>
  <si>
    <t>http://10.45.21.248/msk-snk-price/api/pd/getPriceWayList</t>
    <phoneticPr fontId="14" type="noConversion"/>
  </si>
  <si>
    <t>http://10.20.10.100/bms-snk-price/api/pd/getPriceWayList</t>
    <phoneticPr fontId="14" type="noConversion"/>
  </si>
  <si>
    <t>BuyerType</t>
  </si>
  <si>
    <t>买家类型前台用</t>
  </si>
  <si>
    <t>卤味熟食</t>
  </si>
  <si>
    <t>沙县小吃</t>
  </si>
  <si>
    <t>菜饭骨头汤</t>
  </si>
  <si>
    <t>黄焖鸡米饭</t>
  </si>
  <si>
    <t>BuyerType</t>
    <phoneticPr fontId="14" type="noConversion"/>
  </si>
  <si>
    <t>GroupMeals</t>
    <phoneticPr fontId="14" type="noConversion"/>
  </si>
  <si>
    <t>ChineseFood</t>
    <phoneticPr fontId="14" type="noConversion"/>
  </si>
  <si>
    <t>WesternFood</t>
    <phoneticPr fontId="14" type="noConversion"/>
  </si>
  <si>
    <t>BarbecueSnacks</t>
    <phoneticPr fontId="14" type="noConversion"/>
  </si>
  <si>
    <t>ProcessFactory</t>
    <phoneticPr fontId="14" type="noConversion"/>
  </si>
  <si>
    <t>IndiviEnterpriseLic</t>
    <phoneticPr fontId="14" type="noConversion"/>
  </si>
  <si>
    <t>PartnerEnterpriseLic</t>
    <phoneticPr fontId="14" type="noConversion"/>
  </si>
  <si>
    <t>EnterpriseLegalLic</t>
    <phoneticPr fontId="14" type="noConversion"/>
  </si>
  <si>
    <t>FarmersCoopeLic</t>
    <phoneticPr fontId="14" type="noConversion"/>
  </si>
  <si>
    <t>买家系统</t>
    <phoneticPr fontId="14" type="noConversion"/>
  </si>
  <si>
    <t>BuyerRegisterWay</t>
    <phoneticPr fontId="14" type="noConversion"/>
  </si>
  <si>
    <t>NotResearch</t>
    <phoneticPr fontId="14" type="noConversion"/>
  </si>
  <si>
    <t>已调研</t>
    <phoneticPr fontId="14" type="noConversion"/>
  </si>
  <si>
    <t>AlreadyResearch</t>
    <phoneticPr fontId="14" type="noConversion"/>
  </si>
  <si>
    <t>调研中</t>
    <phoneticPr fontId="14" type="noConversion"/>
  </si>
  <si>
    <t>Researching</t>
    <phoneticPr fontId="14" type="noConversion"/>
  </si>
  <si>
    <t>不调研</t>
    <phoneticPr fontId="14" type="noConversion"/>
  </si>
  <si>
    <t>FoodMarket</t>
    <phoneticPr fontId="14" type="noConversion"/>
  </si>
  <si>
    <t>Agricultural</t>
    <phoneticPr fontId="14" type="noConversion"/>
  </si>
  <si>
    <t>CityProper</t>
    <phoneticPr fontId="14" type="noConversion"/>
  </si>
  <si>
    <t>NearSuburb</t>
    <phoneticPr fontId="14" type="noConversion"/>
  </si>
  <si>
    <t>MarketLevel</t>
    <phoneticPr fontId="14" type="noConversion"/>
  </si>
  <si>
    <t>LevelThree</t>
    <phoneticPr fontId="14" type="noConversion"/>
  </si>
  <si>
    <t>RadiationRange</t>
    <phoneticPr fontId="14" type="noConversion"/>
  </si>
  <si>
    <t>辐射范围</t>
    <phoneticPr fontId="14" type="noConversion"/>
  </si>
  <si>
    <t>MarketingsStatus</t>
    <phoneticPr fontId="14" type="noConversion"/>
  </si>
  <si>
    <t>买家上线状态</t>
    <phoneticPr fontId="14" type="noConversion"/>
  </si>
  <si>
    <t>预注册买家</t>
    <phoneticPr fontId="14" type="noConversion"/>
  </si>
  <si>
    <t>01</t>
    <phoneticPr fontId="14" type="noConversion"/>
  </si>
  <si>
    <t>PreRegister</t>
    <phoneticPr fontId="14" type="noConversion"/>
  </si>
  <si>
    <t>未营销成功买家</t>
    <phoneticPr fontId="14" type="noConversion"/>
  </si>
  <si>
    <t>02</t>
    <phoneticPr fontId="14" type="noConversion"/>
  </si>
  <si>
    <t>NoMarket</t>
    <phoneticPr fontId="14" type="noConversion"/>
  </si>
  <si>
    <t>激活期会员</t>
    <phoneticPr fontId="14" type="noConversion"/>
  </si>
  <si>
    <t>11</t>
    <phoneticPr fontId="14" type="noConversion"/>
  </si>
  <si>
    <t>ActivePeriod</t>
    <phoneticPr fontId="14" type="noConversion"/>
  </si>
  <si>
    <t>稳定期核心会员</t>
    <phoneticPr fontId="14" type="noConversion"/>
  </si>
  <si>
    <t>21</t>
    <phoneticPr fontId="14" type="noConversion"/>
  </si>
  <si>
    <t>StablePeriodCentral</t>
    <phoneticPr fontId="14" type="noConversion"/>
  </si>
  <si>
    <t>稳定期标准会员</t>
    <phoneticPr fontId="14" type="noConversion"/>
  </si>
  <si>
    <t>22</t>
    <phoneticPr fontId="14" type="noConversion"/>
  </si>
  <si>
    <t>StablePeriodStandard</t>
    <phoneticPr fontId="14" type="noConversion"/>
  </si>
  <si>
    <t>预警期会员</t>
    <phoneticPr fontId="14" type="noConversion"/>
  </si>
  <si>
    <t>13</t>
    <phoneticPr fontId="14" type="noConversion"/>
  </si>
  <si>
    <t>销售期公众买家</t>
    <phoneticPr fontId="14" type="noConversion"/>
  </si>
  <si>
    <t>14</t>
    <phoneticPr fontId="14" type="noConversion"/>
  </si>
  <si>
    <t>SupplyPlatform</t>
    <phoneticPr fontId="14" type="noConversion"/>
  </si>
  <si>
    <t>销售运营系统(新)</t>
    <phoneticPr fontId="14" type="noConversion"/>
  </si>
  <si>
    <t>销售运营系统(新)</t>
    <phoneticPr fontId="14" type="noConversion"/>
  </si>
  <si>
    <t>销售运营系统(新)</t>
    <phoneticPr fontId="14" type="noConversion"/>
  </si>
  <si>
    <t>销售运营系统(新)</t>
    <phoneticPr fontId="14" type="noConversion"/>
  </si>
  <si>
    <t>销售运营系统(新)</t>
    <phoneticPr fontId="14" type="noConversion"/>
  </si>
  <si>
    <t>销售运营系统(新)</t>
    <phoneticPr fontId="14" type="noConversion"/>
  </si>
  <si>
    <t>销售运营系统(新)</t>
    <phoneticPr fontId="14" type="noConversion"/>
  </si>
  <si>
    <t>已完成</t>
    <phoneticPr fontId="14" type="noConversion"/>
  </si>
  <si>
    <t>已取消</t>
    <phoneticPr fontId="14" type="noConversion"/>
  </si>
  <si>
    <t>待处理</t>
    <phoneticPr fontId="14" type="noConversion"/>
  </si>
  <si>
    <t>已入库</t>
    <phoneticPr fontId="14" type="noConversion"/>
  </si>
  <si>
    <t>金额类型</t>
    <phoneticPr fontId="14" type="noConversion"/>
  </si>
  <si>
    <t>RefundType</t>
    <phoneticPr fontId="14" type="noConversion"/>
  </si>
  <si>
    <t>全部取消</t>
    <phoneticPr fontId="14" type="noConversion"/>
  </si>
  <si>
    <t>减免</t>
    <phoneticPr fontId="14" type="noConversion"/>
  </si>
  <si>
    <t>部分取消</t>
    <phoneticPr fontId="14" type="noConversion"/>
  </si>
  <si>
    <t>PaidType</t>
    <phoneticPr fontId="14" type="noConversion"/>
  </si>
  <si>
    <t>POS刷卡</t>
    <phoneticPr fontId="14" type="noConversion"/>
  </si>
  <si>
    <t>微信支付</t>
    <phoneticPr fontId="14" type="noConversion"/>
  </si>
  <si>
    <t>支付宝支付</t>
    <phoneticPr fontId="14" type="noConversion"/>
  </si>
  <si>
    <t>买手APP</t>
    <phoneticPr fontId="14" type="noConversion"/>
  </si>
  <si>
    <t>新微商城平台</t>
    <phoneticPr fontId="14" type="noConversion"/>
  </si>
  <si>
    <t>OrderTakerType</t>
    <phoneticPr fontId="14" type="noConversion"/>
  </si>
  <si>
    <t>订单员类型</t>
    <phoneticPr fontId="14" type="noConversion"/>
  </si>
  <si>
    <t>ThirdBuyer</t>
  </si>
  <si>
    <t>销售运营系统(新)</t>
    <phoneticPr fontId="14" type="noConversion"/>
  </si>
  <si>
    <t>产品技术标准定级</t>
    <phoneticPr fontId="14" type="noConversion"/>
  </si>
  <si>
    <t>不通过</t>
    <phoneticPr fontId="14" type="noConversion"/>
  </si>
  <si>
    <t>卖家系统</t>
    <phoneticPr fontId="14" type="noConversion"/>
  </si>
  <si>
    <t>要求执行平台标准</t>
  </si>
  <si>
    <t>生产部经理</t>
    <phoneticPr fontId="14" type="noConversion"/>
  </si>
  <si>
    <t>营销负责人</t>
    <phoneticPr fontId="14" type="noConversion"/>
  </si>
  <si>
    <t>业务联系人</t>
    <phoneticPr fontId="14" type="noConversion"/>
  </si>
  <si>
    <t>SaleStatus</t>
    <phoneticPr fontId="14" type="noConversion"/>
  </si>
  <si>
    <t>SaleStatus</t>
    <phoneticPr fontId="14" type="noConversion"/>
  </si>
  <si>
    <t>SaleStatus</t>
    <phoneticPr fontId="14" type="noConversion"/>
  </si>
  <si>
    <t>卖家系统</t>
    <phoneticPr fontId="14" type="noConversion"/>
  </si>
  <si>
    <t>SlMainClass</t>
    <phoneticPr fontId="14" type="noConversion"/>
  </si>
  <si>
    <t>卖家主分类</t>
    <phoneticPr fontId="14" type="noConversion"/>
  </si>
  <si>
    <t>ProductMarketType</t>
    <phoneticPr fontId="14" type="noConversion"/>
  </si>
  <si>
    <t>产品营销类型</t>
    <phoneticPr fontId="14" type="noConversion"/>
  </si>
  <si>
    <t>主力产品</t>
    <phoneticPr fontId="14" type="noConversion"/>
  </si>
  <si>
    <t>标准产品</t>
    <phoneticPr fontId="14" type="noConversion"/>
  </si>
  <si>
    <t>量少产品</t>
    <phoneticPr fontId="14" type="noConversion"/>
  </si>
  <si>
    <t>BrandType</t>
    <phoneticPr fontId="14" type="noConversion"/>
  </si>
  <si>
    <t>品牌类型(卖家供应链)</t>
    <phoneticPr fontId="14" type="noConversion"/>
  </si>
  <si>
    <t>美侍客</t>
    <phoneticPr fontId="14" type="noConversion"/>
  </si>
  <si>
    <t>卖家供应链系统</t>
    <phoneticPr fontId="14" type="noConversion"/>
  </si>
  <si>
    <t>(卖家供应链-&gt;分销数量表)</t>
    <phoneticPr fontId="14" type="noConversion"/>
  </si>
  <si>
    <t>神农客</t>
    <phoneticPr fontId="14" type="noConversion"/>
  </si>
  <si>
    <t>绿美通</t>
    <phoneticPr fontId="14" type="noConversion"/>
  </si>
  <si>
    <t>已删除</t>
    <phoneticPr fontId="14" type="noConversion"/>
  </si>
  <si>
    <t>订单合同状态</t>
    <phoneticPr fontId="14" type="noConversion"/>
  </si>
  <si>
    <t>待核销</t>
    <phoneticPr fontId="14" type="noConversion"/>
  </si>
  <si>
    <t>卖家采供链</t>
    <phoneticPr fontId="14" type="noConversion"/>
  </si>
  <si>
    <t>PENDING_VERIF</t>
    <phoneticPr fontId="14" type="noConversion"/>
  </si>
  <si>
    <t>已结案</t>
    <phoneticPr fontId="14" type="noConversion"/>
  </si>
  <si>
    <t>FINISHED</t>
    <phoneticPr fontId="14" type="noConversion"/>
  </si>
  <si>
    <t>乙方已确认</t>
    <phoneticPr fontId="14" type="noConversion"/>
  </si>
  <si>
    <t>已删除</t>
    <phoneticPr fontId="14" type="noConversion"/>
  </si>
  <si>
    <t>待确认</t>
    <phoneticPr fontId="14" type="noConversion"/>
  </si>
  <si>
    <t>已删除</t>
    <phoneticPr fontId="14" type="noConversion"/>
  </si>
  <si>
    <t xml:space="preserve">已删除 </t>
    <phoneticPr fontId="14" type="noConversion"/>
  </si>
  <si>
    <t>预付款</t>
    <phoneticPr fontId="14" type="noConversion"/>
  </si>
  <si>
    <t>SscPaymentType</t>
    <phoneticPr fontId="14" type="noConversion"/>
  </si>
  <si>
    <t>支付类型</t>
    <phoneticPr fontId="14" type="noConversion"/>
  </si>
  <si>
    <t>卖家采供链</t>
    <phoneticPr fontId="14" type="noConversion"/>
  </si>
  <si>
    <t>SscPaymentType</t>
    <phoneticPr fontId="14" type="noConversion"/>
  </si>
  <si>
    <t>支付类型</t>
    <phoneticPr fontId="14" type="noConversion"/>
  </si>
  <si>
    <t>余款</t>
    <phoneticPr fontId="14" type="noConversion"/>
  </si>
  <si>
    <t>BALANCE</t>
    <phoneticPr fontId="14" type="noConversion"/>
  </si>
  <si>
    <t>PaymentStatus</t>
    <phoneticPr fontId="14" type="noConversion"/>
  </si>
  <si>
    <t>支付状态</t>
    <phoneticPr fontId="14" type="noConversion"/>
  </si>
  <si>
    <t>未付款</t>
    <phoneticPr fontId="14" type="noConversion"/>
  </si>
  <si>
    <t>UNPAID</t>
    <phoneticPr fontId="14" type="noConversion"/>
  </si>
  <si>
    <t>DifferStatus</t>
    <phoneticPr fontId="14" type="noConversion"/>
  </si>
  <si>
    <t>入库差异单状态</t>
    <phoneticPr fontId="14" type="noConversion"/>
  </si>
  <si>
    <t>未确认</t>
    <phoneticPr fontId="14" type="noConversion"/>
  </si>
  <si>
    <t>已确认</t>
    <phoneticPr fontId="14" type="noConversion"/>
  </si>
  <si>
    <t>VerificationStatus</t>
    <phoneticPr fontId="14" type="noConversion"/>
  </si>
  <si>
    <t>核销单处理状态</t>
    <phoneticPr fontId="14" type="noConversion"/>
  </si>
  <si>
    <t>未处理</t>
    <phoneticPr fontId="14" type="noConversion"/>
  </si>
  <si>
    <t>REPLENISHED</t>
    <phoneticPr fontId="14" type="noConversion"/>
  </si>
  <si>
    <t>待确认</t>
    <phoneticPr fontId="14" type="noConversion"/>
  </si>
  <si>
    <t>REFUNDED</t>
    <phoneticPr fontId="14" type="noConversion"/>
  </si>
  <si>
    <t>确认中</t>
    <phoneticPr fontId="14" type="noConversion"/>
  </si>
  <si>
    <t>UNTREATED</t>
    <phoneticPr fontId="14" type="noConversion"/>
  </si>
  <si>
    <t>已结案</t>
    <phoneticPr fontId="14" type="noConversion"/>
  </si>
  <si>
    <t>卖家采供链</t>
    <phoneticPr fontId="14" type="noConversion"/>
  </si>
  <si>
    <t>已删除</t>
    <phoneticPr fontId="14" type="noConversion"/>
  </si>
  <si>
    <t>VerificationType</t>
    <phoneticPr fontId="14" type="noConversion"/>
  </si>
  <si>
    <t>核销结果处理</t>
    <phoneticPr fontId="14" type="noConversion"/>
  </si>
  <si>
    <t>退款</t>
    <phoneticPr fontId="14" type="noConversion"/>
  </si>
  <si>
    <t>REFUND</t>
    <phoneticPr fontId="14" type="noConversion"/>
  </si>
  <si>
    <t>挂账</t>
    <phoneticPr fontId="14" type="noConversion"/>
  </si>
  <si>
    <t>BILL</t>
    <phoneticPr fontId="14" type="noConversion"/>
  </si>
  <si>
    <t>其他</t>
    <phoneticPr fontId="14" type="noConversion"/>
  </si>
  <si>
    <t>OTHER</t>
    <phoneticPr fontId="14" type="noConversion"/>
  </si>
  <si>
    <t>InvoiceStatus</t>
    <phoneticPr fontId="14" type="noConversion"/>
  </si>
  <si>
    <t>发票申请状态</t>
    <phoneticPr fontId="14" type="noConversion"/>
  </si>
  <si>
    <t>APPL</t>
    <phoneticPr fontId="14" type="noConversion"/>
  </si>
  <si>
    <t>InvoiceStatus</t>
    <phoneticPr fontId="14" type="noConversion"/>
  </si>
  <si>
    <t>发票申请状态</t>
    <phoneticPr fontId="14" type="noConversion"/>
  </si>
  <si>
    <t>INVOICED</t>
    <phoneticPr fontId="14" type="noConversion"/>
  </si>
  <si>
    <t>InvoiceStatus</t>
    <phoneticPr fontId="14" type="noConversion"/>
  </si>
  <si>
    <t>发票申请状态</t>
    <phoneticPr fontId="14" type="noConversion"/>
  </si>
  <si>
    <t>InvoiceStatus</t>
    <phoneticPr fontId="14" type="noConversion"/>
  </si>
  <si>
    <t>发票申请状态</t>
    <phoneticPr fontId="14" type="noConversion"/>
  </si>
  <si>
    <t>InvoiceStatus</t>
    <phoneticPr fontId="14" type="noConversion"/>
  </si>
  <si>
    <t>发票申请状态</t>
    <phoneticPr fontId="14" type="noConversion"/>
  </si>
  <si>
    <t>卖家采供链</t>
    <phoneticPr fontId="14" type="noConversion"/>
  </si>
  <si>
    <t>已删除</t>
    <phoneticPr fontId="14" type="noConversion"/>
  </si>
  <si>
    <t>SscInvoiceType</t>
    <phoneticPr fontId="14" type="noConversion"/>
  </si>
  <si>
    <t>卖家采供链发票类型</t>
    <phoneticPr fontId="14" type="noConversion"/>
  </si>
  <si>
    <t>普通发票</t>
    <phoneticPr fontId="14" type="noConversion"/>
  </si>
  <si>
    <t>增值税专用发票</t>
    <phoneticPr fontId="14" type="noConversion"/>
  </si>
  <si>
    <t>AuditingStatus</t>
    <phoneticPr fontId="14" type="noConversion"/>
  </si>
  <si>
    <t>审批状态</t>
    <phoneticPr fontId="14" type="noConversion"/>
  </si>
  <si>
    <t>AuditingStatus</t>
    <phoneticPr fontId="14" type="noConversion"/>
  </si>
  <si>
    <t>审批状态</t>
    <phoneticPr fontId="14" type="noConversion"/>
  </si>
  <si>
    <t>AuditingStatus</t>
    <phoneticPr fontId="14" type="noConversion"/>
  </si>
  <si>
    <t>审批状态</t>
    <phoneticPr fontId="14" type="noConversion"/>
  </si>
  <si>
    <t>VerificationAuditStatus</t>
    <phoneticPr fontId="14" type="noConversion"/>
  </si>
  <si>
    <t>确认审批状态</t>
    <phoneticPr fontId="14" type="noConversion"/>
  </si>
  <si>
    <t>VerificationAuditStatus</t>
    <phoneticPr fontId="14" type="noConversion"/>
  </si>
  <si>
    <t>确认审批状态</t>
    <phoneticPr fontId="14" type="noConversion"/>
  </si>
  <si>
    <t>Subject</t>
    <phoneticPr fontId="14" type="noConversion"/>
  </si>
  <si>
    <t>RelationType</t>
    <phoneticPr fontId="14" type="noConversion"/>
  </si>
  <si>
    <t>关联状态</t>
    <phoneticPr fontId="14" type="noConversion"/>
  </si>
  <si>
    <t>正常</t>
    <phoneticPr fontId="14" type="noConversion"/>
  </si>
  <si>
    <t>已关联</t>
    <phoneticPr fontId="14" type="noConversion"/>
  </si>
  <si>
    <t>未关联</t>
    <phoneticPr fontId="14" type="noConversion"/>
  </si>
  <si>
    <t>SscEpMainClass</t>
    <phoneticPr fontId="14" type="noConversion"/>
  </si>
  <si>
    <t>企业主分类</t>
    <phoneticPr fontId="14" type="noConversion"/>
  </si>
  <si>
    <t>生产型</t>
    <phoneticPr fontId="14" type="noConversion"/>
  </si>
  <si>
    <t>自产型</t>
    <phoneticPr fontId="14" type="noConversion"/>
  </si>
  <si>
    <t>代理型</t>
    <phoneticPr fontId="14" type="noConversion"/>
  </si>
  <si>
    <t>OEM型</t>
    <phoneticPr fontId="14" type="noConversion"/>
  </si>
  <si>
    <t>SourceFlg</t>
    <phoneticPr fontId="14" type="noConversion"/>
  </si>
  <si>
    <t>发货入库单来源标识</t>
    <phoneticPr fontId="14" type="noConversion"/>
  </si>
  <si>
    <t>平台供应链</t>
    <phoneticPr fontId="14" type="noConversion"/>
  </si>
  <si>
    <t>卖家采供链</t>
    <phoneticPr fontId="14" type="noConversion"/>
  </si>
  <si>
    <t>GradeCode</t>
    <phoneticPr fontId="14" type="noConversion"/>
  </si>
  <si>
    <t>产品等级标准</t>
    <phoneticPr fontId="14" type="noConversion"/>
  </si>
  <si>
    <t>A1</t>
    <phoneticPr fontId="14" type="noConversion"/>
  </si>
  <si>
    <t>价盘系统</t>
    <phoneticPr fontId="14" type="noConversion"/>
  </si>
  <si>
    <t>与“产品技术标准定级”是否重复待确认</t>
    <phoneticPr fontId="14" type="noConversion"/>
  </si>
  <si>
    <t>A2</t>
    <phoneticPr fontId="14" type="noConversion"/>
  </si>
  <si>
    <t>同上</t>
    <phoneticPr fontId="14" type="noConversion"/>
  </si>
  <si>
    <t>A3</t>
    <phoneticPr fontId="14" type="noConversion"/>
  </si>
  <si>
    <t>HkGradeCode</t>
    <phoneticPr fontId="14" type="noConversion"/>
  </si>
  <si>
    <t>冻品管家分类级别</t>
    <phoneticPr fontId="14" type="noConversion"/>
  </si>
  <si>
    <t>特级</t>
    <phoneticPr fontId="14" type="noConversion"/>
  </si>
  <si>
    <t>买手系统</t>
    <phoneticPr fontId="14" type="noConversion"/>
  </si>
  <si>
    <t>高级</t>
    <phoneticPr fontId="14" type="noConversion"/>
  </si>
  <si>
    <t>中级</t>
    <phoneticPr fontId="14" type="noConversion"/>
  </si>
  <si>
    <t>见习</t>
    <phoneticPr fontId="14" type="noConversion"/>
  </si>
  <si>
    <t>ApplySide</t>
    <phoneticPr fontId="14" type="noConversion"/>
  </si>
  <si>
    <t>认证方式</t>
    <phoneticPr fontId="14" type="noConversion"/>
  </si>
  <si>
    <t>冻品管家发展专属会员买家</t>
    <phoneticPr fontId="14" type="noConversion"/>
  </si>
  <si>
    <t>A</t>
    <phoneticPr fontId="14" type="noConversion"/>
  </si>
  <si>
    <t>买家选择专属冻品管家</t>
    <phoneticPr fontId="14" type="noConversion"/>
  </si>
  <si>
    <t>B</t>
    <phoneticPr fontId="14" type="noConversion"/>
  </si>
  <si>
    <t>InboundType</t>
    <phoneticPr fontId="14" type="noConversion"/>
  </si>
  <si>
    <t>入库类型</t>
    <phoneticPr fontId="14" type="noConversion"/>
  </si>
  <si>
    <t>采购入库</t>
    <phoneticPr fontId="14" type="noConversion"/>
  </si>
  <si>
    <t>虚拟库存管理</t>
    <phoneticPr fontId="14" type="noConversion"/>
  </si>
  <si>
    <t>调整入库</t>
    <phoneticPr fontId="14" type="noConversion"/>
  </si>
  <si>
    <t>退货入库</t>
    <phoneticPr fontId="14" type="noConversion"/>
  </si>
  <si>
    <t>样品入库</t>
    <phoneticPr fontId="14" type="noConversion"/>
  </si>
  <si>
    <t>OutboundType</t>
    <phoneticPr fontId="14" type="noConversion"/>
  </si>
  <si>
    <t>出库类型</t>
    <phoneticPr fontId="14" type="noConversion"/>
  </si>
  <si>
    <t>销售出库</t>
    <phoneticPr fontId="14" type="noConversion"/>
  </si>
  <si>
    <t>调整出库</t>
    <phoneticPr fontId="14" type="noConversion"/>
  </si>
  <si>
    <t>退货出库</t>
    <phoneticPr fontId="14" type="noConversion"/>
  </si>
  <si>
    <t>样品出库</t>
    <phoneticPr fontId="14" type="noConversion"/>
  </si>
  <si>
    <t>GoodType</t>
    <phoneticPr fontId="14" type="noConversion"/>
  </si>
  <si>
    <t>货品类型</t>
    <phoneticPr fontId="14" type="noConversion"/>
  </si>
  <si>
    <t>良品</t>
    <phoneticPr fontId="14" type="noConversion"/>
  </si>
  <si>
    <t>不良品</t>
    <phoneticPr fontId="14" type="noConversion"/>
  </si>
  <si>
    <t>问题品</t>
    <phoneticPr fontId="14" type="noConversion"/>
  </si>
  <si>
    <t>IvStatus</t>
    <phoneticPr fontId="14" type="noConversion"/>
  </si>
  <si>
    <t>库存状态</t>
    <phoneticPr fontId="14" type="noConversion"/>
  </si>
  <si>
    <t>采购在途</t>
    <phoneticPr fontId="14" type="noConversion"/>
  </si>
  <si>
    <t>未收货</t>
    <phoneticPr fontId="14" type="noConversion"/>
  </si>
  <si>
    <t>入库中</t>
    <phoneticPr fontId="14" type="noConversion"/>
  </si>
  <si>
    <t>在库</t>
    <phoneticPr fontId="14" type="noConversion"/>
  </si>
  <si>
    <t>出库中</t>
    <phoneticPr fontId="14" type="noConversion"/>
  </si>
  <si>
    <t>已发货</t>
    <phoneticPr fontId="14" type="noConversion"/>
  </si>
  <si>
    <t>未交付</t>
    <phoneticPr fontId="14" type="noConversion"/>
  </si>
  <si>
    <t>已交付</t>
    <phoneticPr fontId="14" type="noConversion"/>
  </si>
  <si>
    <t>SlType</t>
    <phoneticPr fontId="14" type="noConversion"/>
  </si>
  <si>
    <t>卖家类型</t>
    <phoneticPr fontId="14" type="noConversion"/>
  </si>
  <si>
    <t>平台</t>
    <phoneticPr fontId="14" type="noConversion"/>
  </si>
  <si>
    <t>买手</t>
    <phoneticPr fontId="14" type="noConversion"/>
  </si>
  <si>
    <t>TranType</t>
    <phoneticPr fontId="14" type="noConversion"/>
  </si>
  <si>
    <t>业务类型</t>
    <phoneticPr fontId="14" type="noConversion"/>
  </si>
  <si>
    <t>ReturnSource</t>
    <phoneticPr fontId="14" type="noConversion"/>
  </si>
  <si>
    <t>退货数据来源</t>
    <phoneticPr fontId="14" type="noConversion"/>
  </si>
  <si>
    <t>云冻品平台</t>
    <phoneticPr fontId="14" type="noConversion"/>
  </si>
  <si>
    <t>买家APP</t>
    <phoneticPr fontId="14" type="noConversion"/>
  </si>
  <si>
    <t>云冻品B2B平台</t>
    <phoneticPr fontId="14" type="noConversion"/>
  </si>
  <si>
    <t>微商城</t>
    <phoneticPr fontId="14" type="noConversion"/>
  </si>
  <si>
    <t>买手APP</t>
    <phoneticPr fontId="14" type="noConversion"/>
  </si>
  <si>
    <t>司机PDA</t>
    <phoneticPr fontId="14" type="noConversion"/>
  </si>
  <si>
    <t>OrderComplainReason</t>
    <phoneticPr fontId="14" type="noConversion"/>
  </si>
  <si>
    <t>订单投诉原因</t>
    <phoneticPr fontId="14" type="noConversion"/>
  </si>
  <si>
    <t>承诺的没做到</t>
    <phoneticPr fontId="14" type="noConversion"/>
  </si>
  <si>
    <t>未按成交价格进行交易</t>
    <phoneticPr fontId="14" type="noConversion"/>
  </si>
  <si>
    <t>未按约定时间发货</t>
    <phoneticPr fontId="14" type="noConversion"/>
  </si>
  <si>
    <t>违反交易流程</t>
    <phoneticPr fontId="14" type="noConversion"/>
  </si>
  <si>
    <t>OrderComplainStatus</t>
    <phoneticPr fontId="14" type="noConversion"/>
  </si>
  <si>
    <t>订单投诉状态</t>
    <phoneticPr fontId="14" type="noConversion"/>
  </si>
  <si>
    <t>投诉中</t>
    <phoneticPr fontId="14" type="noConversion"/>
  </si>
  <si>
    <t>处理中</t>
    <phoneticPr fontId="14" type="noConversion"/>
  </si>
  <si>
    <t>处理完</t>
    <phoneticPr fontId="14" type="noConversion"/>
  </si>
  <si>
    <t>买家APP</t>
    <phoneticPr fontId="14" type="noConversion"/>
  </si>
  <si>
    <t>BYAPP</t>
    <phoneticPr fontId="14" type="noConversion"/>
  </si>
  <si>
    <t>UnResearch</t>
    <phoneticPr fontId="14" type="noConversion"/>
  </si>
  <si>
    <t>SalesPublicBuyers</t>
    <phoneticPr fontId="14" type="noConversion"/>
  </si>
  <si>
    <t>停业买家</t>
    <phoneticPr fontId="14" type="noConversion"/>
  </si>
  <si>
    <t>31</t>
    <phoneticPr fontId="14" type="noConversion"/>
  </si>
  <si>
    <t>OutBusiness</t>
    <phoneticPr fontId="14" type="noConversion"/>
  </si>
  <si>
    <t>信息错误买家</t>
    <phoneticPr fontId="14" type="noConversion"/>
  </si>
  <si>
    <t>32</t>
    <phoneticPr fontId="14" type="noConversion"/>
  </si>
  <si>
    <t>InfoError</t>
    <phoneticPr fontId="14" type="noConversion"/>
  </si>
  <si>
    <t>MarketResearchPhase</t>
    <phoneticPr fontId="14" type="noConversion"/>
  </si>
  <si>
    <t>市场调研阶段</t>
    <phoneticPr fontId="14" type="noConversion"/>
  </si>
  <si>
    <t>先期调研阶段</t>
    <phoneticPr fontId="14" type="noConversion"/>
  </si>
  <si>
    <t>MarketResearch</t>
    <phoneticPr fontId="14" type="noConversion"/>
  </si>
  <si>
    <t>现场稽核阶段</t>
    <phoneticPr fontId="14" type="noConversion"/>
  </si>
  <si>
    <t>MarketAudit</t>
    <phoneticPr fontId="14" type="noConversion"/>
  </si>
  <si>
    <t>HabitReceivePeriodType</t>
    <phoneticPr fontId="14" type="noConversion"/>
  </si>
  <si>
    <t>习惯收货时间段</t>
    <phoneticPr fontId="14" type="noConversion"/>
  </si>
  <si>
    <t>06:00-08:00</t>
    <phoneticPr fontId="14" type="noConversion"/>
  </si>
  <si>
    <t>08:00-10:00</t>
    <phoneticPr fontId="14" type="noConversion"/>
  </si>
  <si>
    <t>10:00-12:00</t>
    <phoneticPr fontId="14" type="noConversion"/>
  </si>
  <si>
    <t>12:00-14:00</t>
    <phoneticPr fontId="14" type="noConversion"/>
  </si>
  <si>
    <t>14:00-16:00</t>
    <phoneticPr fontId="14" type="noConversion"/>
  </si>
  <si>
    <t>16:00-18:00</t>
    <phoneticPr fontId="14" type="noConversion"/>
  </si>
  <si>
    <t>18:00-20:00</t>
    <phoneticPr fontId="14" type="noConversion"/>
  </si>
  <si>
    <t>20:00-22:00</t>
    <phoneticPr fontId="14" type="noConversion"/>
  </si>
  <si>
    <t>22:00-24:00</t>
    <phoneticPr fontId="14" type="noConversion"/>
  </si>
  <si>
    <t>00:00-02:00</t>
    <phoneticPr fontId="14" type="noConversion"/>
  </si>
  <si>
    <t>02:00-04:00</t>
    <phoneticPr fontId="14" type="noConversion"/>
  </si>
  <si>
    <t>04:00-06:00</t>
    <phoneticPr fontId="14" type="noConversion"/>
  </si>
  <si>
    <t>NTargetPdClasses</t>
    <phoneticPr fontId="14" type="noConversion"/>
  </si>
  <si>
    <t>非目标买家销售产品分类</t>
    <phoneticPr fontId="14" type="noConversion"/>
  </si>
  <si>
    <t>鲜肉产品</t>
    <phoneticPr fontId="14" type="noConversion"/>
  </si>
  <si>
    <t>MeatProduct</t>
    <phoneticPr fontId="14" type="noConversion"/>
  </si>
  <si>
    <t>鲜鱼产品</t>
    <phoneticPr fontId="14" type="noConversion"/>
  </si>
  <si>
    <t>FishProduct</t>
    <phoneticPr fontId="14" type="noConversion"/>
  </si>
  <si>
    <t>活禽产品</t>
    <phoneticPr fontId="14" type="noConversion"/>
  </si>
  <si>
    <t>LivePoultryProduct</t>
    <phoneticPr fontId="14" type="noConversion"/>
  </si>
  <si>
    <t>禽蛋产品</t>
    <phoneticPr fontId="14" type="noConversion"/>
  </si>
  <si>
    <t>EggProduct</t>
    <phoneticPr fontId="14" type="noConversion"/>
  </si>
  <si>
    <t>果蔬产品</t>
    <phoneticPr fontId="14" type="noConversion"/>
  </si>
  <si>
    <t>FruitProduct</t>
    <phoneticPr fontId="14" type="noConversion"/>
  </si>
  <si>
    <t>豆制品</t>
    <phoneticPr fontId="14" type="noConversion"/>
  </si>
  <si>
    <t>BeanProduct</t>
    <phoneticPr fontId="14" type="noConversion"/>
  </si>
  <si>
    <t>其它食品</t>
    <phoneticPr fontId="14" type="noConversion"/>
  </si>
  <si>
    <t>OthenFood</t>
    <phoneticPr fontId="14" type="noConversion"/>
  </si>
  <si>
    <t>非食品</t>
    <phoneticPr fontId="14" type="noConversion"/>
  </si>
  <si>
    <t>NotFood</t>
    <phoneticPr fontId="14" type="noConversion"/>
  </si>
  <si>
    <t>MarketingTool</t>
    <phoneticPr fontId="14" type="noConversion"/>
  </si>
  <si>
    <t>买家有效营销工具</t>
    <phoneticPr fontId="14" type="noConversion"/>
  </si>
  <si>
    <t>电话</t>
    <phoneticPr fontId="14" type="noConversion"/>
  </si>
  <si>
    <t>byPhone</t>
    <phoneticPr fontId="14" type="noConversion"/>
  </si>
  <si>
    <t>微信</t>
    <phoneticPr fontId="14" type="noConversion"/>
  </si>
  <si>
    <t>byWechat</t>
    <phoneticPr fontId="14" type="noConversion"/>
  </si>
  <si>
    <t>QQ</t>
    <phoneticPr fontId="14" type="noConversion"/>
  </si>
  <si>
    <t>byQq</t>
    <phoneticPr fontId="14" type="noConversion"/>
  </si>
  <si>
    <t>FileStatus</t>
    <phoneticPr fontId="14" type="noConversion"/>
  </si>
  <si>
    <t>文件状态</t>
    <phoneticPr fontId="14" type="noConversion"/>
  </si>
  <si>
    <t>未生成</t>
    <phoneticPr fontId="14" type="noConversion"/>
  </si>
  <si>
    <t>NotGenerated</t>
    <phoneticPr fontId="14" type="noConversion"/>
  </si>
  <si>
    <t>已生成</t>
    <phoneticPr fontId="14" type="noConversion"/>
  </si>
  <si>
    <t>Generated</t>
    <phoneticPr fontId="14" type="noConversion"/>
  </si>
  <si>
    <t>生成中</t>
    <phoneticPr fontId="14" type="noConversion"/>
  </si>
  <si>
    <t>Generating</t>
    <phoneticPr fontId="14" type="noConversion"/>
  </si>
  <si>
    <t>生成失败</t>
    <phoneticPr fontId="14" type="noConversion"/>
  </si>
  <si>
    <t>CurrentPeriod</t>
    <phoneticPr fontId="14" type="noConversion"/>
  </si>
  <si>
    <t>本期</t>
    <phoneticPr fontId="14" type="noConversion"/>
  </si>
  <si>
    <t>本半旬</t>
    <phoneticPr fontId="14" type="noConversion"/>
  </si>
  <si>
    <t>CurrentHalf</t>
    <phoneticPr fontId="14" type="noConversion"/>
  </si>
  <si>
    <t>本旬</t>
    <phoneticPr fontId="14" type="noConversion"/>
  </si>
  <si>
    <t>CurrentTen</t>
    <phoneticPr fontId="14" type="noConversion"/>
  </si>
  <si>
    <t>本月</t>
    <phoneticPr fontId="14" type="noConversion"/>
  </si>
  <si>
    <t>CurrentMonth</t>
    <phoneticPr fontId="14" type="noConversion"/>
  </si>
  <si>
    <t>ShOrderDeliveryArea</t>
    <phoneticPr fontId="14" type="noConversion"/>
  </si>
  <si>
    <t>上海订单配送区域</t>
    <phoneticPr fontId="14" type="noConversion"/>
  </si>
  <si>
    <t>内环以内</t>
    <phoneticPr fontId="14" type="noConversion"/>
  </si>
  <si>
    <t>Inner</t>
    <phoneticPr fontId="14" type="noConversion"/>
  </si>
  <si>
    <t>内环与中环间</t>
    <phoneticPr fontId="14" type="noConversion"/>
  </si>
  <si>
    <t>InnerToMiddle</t>
    <phoneticPr fontId="14" type="noConversion"/>
  </si>
  <si>
    <t>中环与外环间</t>
    <phoneticPr fontId="14" type="noConversion"/>
  </si>
  <si>
    <t>MiddleToOuter</t>
    <phoneticPr fontId="14" type="noConversion"/>
  </si>
  <si>
    <t>外环以外</t>
    <phoneticPr fontId="14" type="noConversion"/>
  </si>
  <si>
    <t>Outer</t>
    <phoneticPr fontId="14" type="noConversion"/>
  </si>
  <si>
    <t>SettingType</t>
    <phoneticPr fontId="14" type="noConversion"/>
  </si>
  <si>
    <t>配置类型</t>
    <phoneticPr fontId="14" type="noConversion"/>
  </si>
  <si>
    <t>需求等级</t>
    <phoneticPr fontId="14" type="noConversion"/>
  </si>
  <si>
    <t>DemandLevel</t>
    <phoneticPr fontId="14" type="noConversion"/>
  </si>
  <si>
    <t>03</t>
    <phoneticPr fontId="14" type="noConversion"/>
  </si>
  <si>
    <t>04</t>
    <phoneticPr fontId="14" type="noConversion"/>
  </si>
  <si>
    <t>0501</t>
    <phoneticPr fontId="14" type="noConversion"/>
  </si>
  <si>
    <t>0601</t>
    <phoneticPr fontId="14" type="noConversion"/>
  </si>
  <si>
    <t>0602</t>
    <phoneticPr fontId="14" type="noConversion"/>
  </si>
  <si>
    <t>0603</t>
    <phoneticPr fontId="14" type="noConversion"/>
  </si>
  <si>
    <t>InvoiceType</t>
    <phoneticPr fontId="14" type="noConversion"/>
  </si>
  <si>
    <t>迟收退货</t>
    <phoneticPr fontId="14" type="noConversion"/>
  </si>
  <si>
    <t>销售运营管理（新）</t>
    <phoneticPr fontId="14" type="noConversion"/>
  </si>
  <si>
    <t>供货平台</t>
    <phoneticPr fontId="14" type="noConversion"/>
  </si>
  <si>
    <t>期初</t>
    <phoneticPr fontId="14" type="noConversion"/>
  </si>
  <si>
    <t>SettlementStatus</t>
    <phoneticPr fontId="14" type="noConversion"/>
  </si>
  <si>
    <t>结算状态</t>
    <phoneticPr fontId="14" type="noConversion"/>
  </si>
  <si>
    <t>借</t>
    <phoneticPr fontId="14" type="noConversion"/>
  </si>
  <si>
    <t>贷</t>
    <phoneticPr fontId="14" type="noConversion"/>
  </si>
  <si>
    <t>买家</t>
    <phoneticPr fontId="14" type="noConversion"/>
  </si>
  <si>
    <t>销售运营管理订单系统</t>
    <phoneticPr fontId="14" type="noConversion"/>
  </si>
  <si>
    <t>管家</t>
    <phoneticPr fontId="14" type="noConversion"/>
  </si>
  <si>
    <t>OrderBuyerType</t>
    <phoneticPr fontId="14" type="noConversion"/>
  </si>
  <si>
    <t>销售运营系统</t>
    <phoneticPr fontId="14" type="noConversion"/>
  </si>
  <si>
    <t>销售运营系统(新)</t>
    <phoneticPr fontId="14" type="noConversion"/>
  </si>
  <si>
    <t>生产型</t>
    <phoneticPr fontId="14" type="noConversion"/>
  </si>
  <si>
    <t>买家基本信息表</t>
    <phoneticPr fontId="14" type="noConversion"/>
  </si>
  <si>
    <t>自产型</t>
    <phoneticPr fontId="14" type="noConversion"/>
  </si>
  <si>
    <t>代理型</t>
    <phoneticPr fontId="14" type="noConversion"/>
  </si>
  <si>
    <t>OEM型</t>
    <phoneticPr fontId="14" type="noConversion"/>
  </si>
  <si>
    <t>买手型</t>
    <phoneticPr fontId="14" type="noConversion"/>
  </si>
  <si>
    <t>SlTncGradeCode</t>
    <phoneticPr fontId="14" type="noConversion"/>
  </si>
  <si>
    <t>产品技术标准定级(加工质量标准)</t>
    <phoneticPr fontId="14" type="noConversion"/>
  </si>
  <si>
    <t>A1</t>
    <phoneticPr fontId="14" type="noConversion"/>
  </si>
  <si>
    <t>卖家产品品种产品技术标准定级</t>
    <phoneticPr fontId="14" type="noConversion"/>
  </si>
  <si>
    <t>不通过</t>
    <phoneticPr fontId="14" type="noConversion"/>
  </si>
  <si>
    <t>讨论中</t>
    <phoneticPr fontId="14" type="noConversion"/>
  </si>
  <si>
    <t>SlQltGradeCode</t>
    <phoneticPr fontId="14" type="noConversion"/>
  </si>
  <si>
    <t>产品质量标准定级</t>
    <phoneticPr fontId="14" type="noConversion"/>
  </si>
  <si>
    <t>优良</t>
    <phoneticPr fontId="14" type="noConversion"/>
  </si>
  <si>
    <t>买家基本信息表中的产品质量标准定级</t>
    <phoneticPr fontId="14" type="noConversion"/>
  </si>
  <si>
    <t>合格</t>
    <phoneticPr fontId="14" type="noConversion"/>
  </si>
  <si>
    <t>不合格</t>
    <phoneticPr fontId="14" type="noConversion"/>
  </si>
  <si>
    <t>论证中</t>
    <phoneticPr fontId="14" type="noConversion"/>
  </si>
  <si>
    <t>AgreeFlg</t>
    <phoneticPr fontId="14" type="noConversion"/>
  </si>
  <si>
    <t>同意标志</t>
    <phoneticPr fontId="14" type="noConversion"/>
  </si>
  <si>
    <t>未录入</t>
    <phoneticPr fontId="14" type="noConversion"/>
  </si>
  <si>
    <t>分销章程卖家意见同意标志</t>
    <phoneticPr fontId="14" type="noConversion"/>
  </si>
  <si>
    <t>同意</t>
    <phoneticPr fontId="14" type="noConversion"/>
  </si>
  <si>
    <t>不同意</t>
    <phoneticPr fontId="14" type="noConversion"/>
  </si>
  <si>
    <t>BrandClass</t>
    <phoneticPr fontId="14" type="noConversion"/>
  </si>
  <si>
    <t>品牌分类</t>
    <phoneticPr fontId="14" type="noConversion"/>
  </si>
  <si>
    <t>卖家独立品牌</t>
    <phoneticPr fontId="14" type="noConversion"/>
  </si>
  <si>
    <t>神农先生联合</t>
    <phoneticPr fontId="14" type="noConversion"/>
  </si>
  <si>
    <t>神农客联合</t>
    <phoneticPr fontId="14" type="noConversion"/>
  </si>
  <si>
    <t>神农人家联合</t>
    <phoneticPr fontId="14" type="noConversion"/>
  </si>
  <si>
    <t>LeaderFlg</t>
    <phoneticPr fontId="14" type="noConversion"/>
  </si>
  <si>
    <t>是否负责人</t>
    <phoneticPr fontId="14" type="noConversion"/>
  </si>
  <si>
    <t>团队负责人</t>
    <phoneticPr fontId="14" type="noConversion"/>
  </si>
  <si>
    <t>团队成员</t>
    <phoneticPr fontId="14" type="noConversion"/>
  </si>
  <si>
    <t>PdCountry</t>
    <phoneticPr fontId="14" type="noConversion"/>
  </si>
  <si>
    <t>国别</t>
    <phoneticPr fontId="14" type="noConversion"/>
  </si>
  <si>
    <t>国内</t>
    <phoneticPr fontId="14" type="noConversion"/>
  </si>
  <si>
    <t>国外</t>
    <phoneticPr fontId="14" type="noConversion"/>
  </si>
  <si>
    <t>BackType</t>
    <phoneticPr fontId="14" type="noConversion"/>
  </si>
  <si>
    <t>参考明细来源</t>
    <phoneticPr fontId="14" type="noConversion"/>
  </si>
  <si>
    <t>买家</t>
    <phoneticPr fontId="14" type="noConversion"/>
  </si>
  <si>
    <t>卖家</t>
    <phoneticPr fontId="14" type="noConversion"/>
  </si>
  <si>
    <t>新微商城平台</t>
    <phoneticPr fontId="14" type="noConversion"/>
  </si>
  <si>
    <t>6</t>
    <phoneticPr fontId="14" type="noConversion"/>
  </si>
  <si>
    <t>买家APP</t>
    <phoneticPr fontId="14" type="noConversion"/>
  </si>
  <si>
    <t>否</t>
    <phoneticPr fontId="14" type="noConversion"/>
  </si>
  <si>
    <t>是</t>
    <phoneticPr fontId="14" type="noConversion"/>
  </si>
  <si>
    <t>SplitDeliveryFlg</t>
    <phoneticPr fontId="14" type="noConversion"/>
  </si>
  <si>
    <t>订单来源</t>
    <phoneticPr fontId="14" type="noConversion"/>
  </si>
  <si>
    <t>6</t>
    <phoneticPr fontId="14" type="noConversion"/>
  </si>
  <si>
    <t>file.server.upload.inside</t>
    <phoneticPr fontId="14" type="noConversion"/>
  </si>
  <si>
    <t>file.server.download.inside</t>
    <phoneticPr fontId="14" type="noConversion"/>
  </si>
  <si>
    <t>http://10.20.16.152:8888/msk-so-cp/api/cp/sellerCharging</t>
    <phoneticPr fontId="14" type="noConversion"/>
  </si>
  <si>
    <t>http://localhost:8080/msk-web</t>
    <phoneticPr fontId="14" type="noConversion"/>
  </si>
  <si>
    <t>http://localhost:8080/msk-file/file/_upload</t>
    <phoneticPr fontId="14" type="noConversion"/>
  </si>
  <si>
    <t>http://localhost:8081/_download</t>
    <phoneticPr fontId="14" type="noConversion"/>
  </si>
  <si>
    <t>http://10.171.246.164/msk-web</t>
    <phoneticPr fontId="14" type="noConversion"/>
  </si>
  <si>
    <t>http://10.171.246.164/_upload</t>
    <phoneticPr fontId="14" type="noConversion"/>
  </si>
  <si>
    <t>http://10.171.246.164/_download</t>
    <phoneticPr fontId="14" type="noConversion"/>
  </si>
  <si>
    <t>文件上传(外网地址)</t>
    <phoneticPr fontId="14" type="noConversion"/>
  </si>
  <si>
    <t>获得文件(外网地址)</t>
    <phoneticPr fontId="14" type="noConversion"/>
  </si>
  <si>
    <t>文件上传(内网地址)</t>
    <phoneticPr fontId="14" type="noConversion"/>
  </si>
  <si>
    <t>获得文件(内网地址)</t>
    <phoneticPr fontId="14" type="noConversion"/>
  </si>
  <si>
    <t>http://10.45.21.248/msk-web</t>
    <phoneticPr fontId="14" type="noConversion"/>
  </si>
  <si>
    <t>http://10.45.21.248/_upload</t>
    <phoneticPr fontId="14" type="noConversion"/>
  </si>
  <si>
    <t>http://10.45.21.248/_download</t>
    <phoneticPr fontId="14" type="noConversion"/>
  </si>
  <si>
    <t>http://10.20.10.100/bms</t>
    <phoneticPr fontId="14" type="noConversion"/>
  </si>
  <si>
    <t>http://10.20.10.100/_upload</t>
    <phoneticPr fontId="14" type="noConversion"/>
  </si>
  <si>
    <t>http://10.20.10.100/_download</t>
    <phoneticPr fontId="14" type="noConversion"/>
  </si>
  <si>
    <t>团膳买家</t>
    <phoneticPr fontId="14" type="noConversion"/>
  </si>
  <si>
    <t>5</t>
    <phoneticPr fontId="14" type="noConversion"/>
  </si>
  <si>
    <t>6</t>
    <phoneticPr fontId="14" type="noConversion"/>
  </si>
  <si>
    <t>7</t>
    <phoneticPr fontId="14" type="noConversion"/>
  </si>
  <si>
    <t>8</t>
    <phoneticPr fontId="14" type="noConversion"/>
  </si>
  <si>
    <t>sh_dev</t>
    <phoneticPr fontId="14" type="noConversion"/>
  </si>
  <si>
    <t>http://t-bms.xianchida.com/msk-image</t>
    <phoneticPr fontId="14" type="noConversion"/>
  </si>
  <si>
    <t>http://t-bms.xianchida.com/msk-file/file/_upload</t>
    <phoneticPr fontId="14" type="noConversion"/>
  </si>
  <si>
    <t>http://t-bms.xianchida.com/msk-file/_download</t>
    <phoneticPr fontId="14" type="noConversion"/>
  </si>
  <si>
    <t>http://t-file.xianchida.com/_upload</t>
    <phoneticPr fontId="14" type="noConversion"/>
  </si>
  <si>
    <t>http://t-bms.xianchida.com/msk-sso-server</t>
    <phoneticPr fontId="14" type="noConversion"/>
  </si>
  <si>
    <t>http://t-bms.xianchida.com/msk-snk-price/api/sp/getPriceBox</t>
    <phoneticPr fontId="14" type="noConversion"/>
  </si>
  <si>
    <t>http://t-bms.xianchida.com/msk-print/print/pdf/order/PDF000001</t>
    <phoneticPr fontId="14" type="noConversion"/>
  </si>
  <si>
    <t>http://t-bms.xianchida.com/msk-so-cp/api/cp/sellerCharging</t>
    <phoneticPr fontId="14" type="noConversion"/>
  </si>
  <si>
    <t>http://t-bms.xianchida.com/msk-so-cp/api/cp/transaction</t>
    <phoneticPr fontId="14" type="noConversion"/>
  </si>
  <si>
    <t>http://t-bms.xianchida.com/msk-seller</t>
    <phoneticPr fontId="14" type="noConversion"/>
  </si>
  <si>
    <t>http://t-bms.xianchida.com/msk-org</t>
    <phoneticPr fontId="14" type="noConversion"/>
  </si>
  <si>
    <t>http://t-bms.xianchida.com/msk-print/print/pdf/ds/</t>
    <phoneticPr fontId="14" type="noConversion"/>
  </si>
  <si>
    <t>http://t-bms.xianchida.com/msk-web/api/v1/deliveryDetail/pdf/print</t>
    <phoneticPr fontId="14" type="noConversion"/>
  </si>
  <si>
    <t>http://t-bms.xianchida.com/msk-buyers/api/by/buyerCodeWithRingCode/query</t>
    <phoneticPr fontId="14" type="noConversion"/>
  </si>
  <si>
    <t>http://t-bms.xianchida.com/msk-buyers/api/by/buyerId/queryByBuyerCode</t>
    <phoneticPr fontId="14" type="noConversion"/>
  </si>
  <si>
    <t>http://t-bms.xianchida.com/msk-favorites</t>
    <phoneticPr fontId="14" type="noConversion"/>
  </si>
  <si>
    <t>http://t-bms.xianchida.com/msk-snk-price/api/pd/getPriceWayList</t>
    <phoneticPr fontId="14" type="noConversion"/>
  </si>
  <si>
    <t>http://sms.api.ums86.com:8899/sms/Api/Send.do</t>
    <phoneticPr fontId="14" type="noConversion"/>
  </si>
  <si>
    <t>MarketingStatus</t>
    <phoneticPr fontId="14" type="noConversion"/>
  </si>
  <si>
    <t>MarketingStatus</t>
    <phoneticPr fontId="14" type="noConversion"/>
  </si>
  <si>
    <t>营销状态</t>
    <phoneticPr fontId="14" type="noConversion"/>
  </si>
  <si>
    <t>营销状态</t>
    <phoneticPr fontId="14" type="noConversion"/>
  </si>
  <si>
    <t>营销状态</t>
    <phoneticPr fontId="14" type="noConversion"/>
  </si>
  <si>
    <t>大宗惠</t>
    <phoneticPr fontId="14" type="noConversion"/>
  </si>
  <si>
    <t>新品惠</t>
    <phoneticPr fontId="14" type="noConversion"/>
  </si>
  <si>
    <t>秒杀</t>
    <phoneticPr fontId="14" type="noConversion"/>
  </si>
  <si>
    <t>0</t>
    <phoneticPr fontId="14" type="noConversion"/>
  </si>
  <si>
    <t>1</t>
    <phoneticPr fontId="14" type="noConversion"/>
  </si>
  <si>
    <t>2</t>
    <phoneticPr fontId="14" type="noConversion"/>
  </si>
  <si>
    <t>价盘系统</t>
    <phoneticPr fontId="14" type="noConversion"/>
  </si>
  <si>
    <t>价盘系统</t>
    <phoneticPr fontId="14" type="noConversion"/>
  </si>
  <si>
    <t>OrderDetailStatus</t>
    <phoneticPr fontId="14" type="noConversion"/>
  </si>
  <si>
    <t>OrderDetailStatus</t>
    <phoneticPr fontId="14" type="noConversion"/>
  </si>
  <si>
    <t>订单详细状态</t>
    <phoneticPr fontId="14" type="noConversion"/>
  </si>
  <si>
    <t>订单详细状态</t>
    <phoneticPr fontId="14" type="noConversion"/>
  </si>
  <si>
    <t>待审核</t>
    <phoneticPr fontId="14" type="noConversion"/>
  </si>
  <si>
    <t>OrderDetailAvailabilityStatus</t>
    <phoneticPr fontId="14" type="noConversion"/>
  </si>
  <si>
    <t>OrderDetailAvailabilityStatus</t>
    <phoneticPr fontId="14" type="noConversion"/>
  </si>
  <si>
    <t>订单详细供应状态</t>
    <phoneticPr fontId="14" type="noConversion"/>
  </si>
  <si>
    <t>待审核</t>
    <phoneticPr fontId="14" type="noConversion"/>
  </si>
  <si>
    <t>mail.from</t>
    <phoneticPr fontId="14" type="noConversion"/>
  </si>
  <si>
    <t>redmine@dxl123.net</t>
    <phoneticPr fontId="14" type="noConversion"/>
  </si>
  <si>
    <t>邮件发送人</t>
    <phoneticPr fontId="14" type="noConversion"/>
  </si>
  <si>
    <t>共通</t>
    <phoneticPr fontId="14" type="noConversion"/>
  </si>
  <si>
    <t>邮件发送共通</t>
    <phoneticPr fontId="14" type="noConversion"/>
  </si>
  <si>
    <t>mail.host</t>
    <phoneticPr fontId="14" type="noConversion"/>
  </si>
  <si>
    <t>smtp.dxl123.net</t>
    <phoneticPr fontId="14" type="noConversion"/>
  </si>
  <si>
    <t>邮箱服务器</t>
    <phoneticPr fontId="14" type="noConversion"/>
  </si>
  <si>
    <t>mail.password</t>
    <phoneticPr fontId="14" type="noConversion"/>
  </si>
  <si>
    <t>XMGL999</t>
    <phoneticPr fontId="14" type="noConversion"/>
  </si>
  <si>
    <t>邮箱登录名的密码</t>
    <phoneticPr fontId="14" type="noConversion"/>
  </si>
  <si>
    <t>mail.port</t>
    <phoneticPr fontId="14" type="noConversion"/>
  </si>
  <si>
    <t>邮箱服务器端口</t>
    <phoneticPr fontId="14" type="noConversion"/>
  </si>
  <si>
    <t>mail.proxyHost</t>
    <phoneticPr fontId="14" type="noConversion"/>
  </si>
  <si>
    <t>mail.proxyPort</t>
    <phoneticPr fontId="14" type="noConversion"/>
  </si>
  <si>
    <t>代理服务器</t>
    <phoneticPr fontId="14" type="noConversion"/>
  </si>
  <si>
    <t>代理服务器端口</t>
    <phoneticPr fontId="14" type="noConversion"/>
  </si>
  <si>
    <t>mail.sender</t>
    <phoneticPr fontId="14" type="noConversion"/>
  </si>
  <si>
    <t>mail.ssl</t>
    <phoneticPr fontId="14" type="noConversion"/>
  </si>
  <si>
    <t>mail.username</t>
    <phoneticPr fontId="14" type="noConversion"/>
  </si>
  <si>
    <t>redmine@dxl123.net</t>
    <phoneticPr fontId="14" type="noConversion"/>
  </si>
  <si>
    <t>邮箱登录名</t>
    <phoneticPr fontId="14" type="noConversion"/>
  </si>
  <si>
    <t>测试</t>
    <phoneticPr fontId="14" type="noConversion"/>
  </si>
  <si>
    <t>邮箱发送人名称</t>
    <phoneticPr fontId="14" type="noConversion"/>
  </si>
  <si>
    <t>是否启动ssl</t>
    <phoneticPr fontId="14" type="noConversion"/>
  </si>
  <si>
    <t>开发</t>
    <phoneticPr fontId="14" type="noConversion"/>
  </si>
  <si>
    <t>10.45.21.248</t>
    <phoneticPr fontId="14" type="noConversion"/>
  </si>
  <si>
    <t>oms-test</t>
    <phoneticPr fontId="14" type="noConversion"/>
  </si>
  <si>
    <t>root@xianchida.com</t>
    <phoneticPr fontId="14" type="noConversion"/>
  </si>
  <si>
    <t>root@xianchida.com</t>
    <phoneticPr fontId="14" type="noConversion"/>
  </si>
  <si>
    <t>oms-uat</t>
    <phoneticPr fontId="14" type="noConversion"/>
  </si>
  <si>
    <t>10.20.10.100</t>
    <phoneticPr fontId="14" type="noConversion"/>
  </si>
  <si>
    <t>oms-admin</t>
    <phoneticPr fontId="14" type="noConversion"/>
  </si>
  <si>
    <t>ReturnSource</t>
    <phoneticPr fontId="14" type="noConversion"/>
  </si>
  <si>
    <t>ReturnSource</t>
    <phoneticPr fontId="14" type="noConversion"/>
  </si>
  <si>
    <t>退货数据来源</t>
    <phoneticPr fontId="14" type="noConversion"/>
  </si>
  <si>
    <t>冻期所</t>
    <phoneticPr fontId="14" type="noConversion"/>
  </si>
  <si>
    <t>7</t>
    <phoneticPr fontId="14" type="noConversion"/>
  </si>
  <si>
    <t>OrderSource</t>
    <phoneticPr fontId="14" type="noConversion"/>
  </si>
  <si>
    <t>OrderSource</t>
    <phoneticPr fontId="14" type="noConversion"/>
  </si>
  <si>
    <t>订单来源</t>
    <phoneticPr fontId="14" type="noConversion"/>
  </si>
  <si>
    <t>订单来源</t>
    <phoneticPr fontId="14" type="noConversion"/>
  </si>
  <si>
    <t>买家APP</t>
    <phoneticPr fontId="14" type="noConversion"/>
  </si>
  <si>
    <t>订单发货单状态</t>
    <phoneticPr fontId="14" type="noConversion"/>
  </si>
  <si>
    <t>订单发货单状态</t>
    <phoneticPr fontId="14" type="noConversion"/>
  </si>
  <si>
    <t>订单发货单状态</t>
    <phoneticPr fontId="14" type="noConversion"/>
  </si>
  <si>
    <t>待分配仓库</t>
    <phoneticPr fontId="14" type="noConversion"/>
  </si>
  <si>
    <t>待传递WMS</t>
    <phoneticPr fontId="14" type="noConversion"/>
  </si>
  <si>
    <t>8</t>
    <phoneticPr fontId="14" type="noConversion"/>
  </si>
  <si>
    <t>9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</si>
</sst>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>
    <font>
      <sz val="11"/>
      <color theme="1"/>
      <name val="宋体"/>
      <charset val="134"/>
      <scheme val="minor"/>
    </font>
    <font>
      <sz val="10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0"/>
      <name val="宋体"/>
      <family val="2"/>
      <scheme val="minor"/>
    </font>
    <font>
      <sz val="10"/>
      <color rgb="FFFF0000"/>
      <name val="宋体"/>
      <family val="2"/>
      <scheme val="minor"/>
    </font>
    <font>
      <sz val="10"/>
      <name val="宋体"/>
      <family val="2"/>
      <scheme val="minor"/>
    </font>
    <font>
      <b/>
      <sz val="12"/>
      <color theme="1"/>
      <name val="宋体"/>
      <family val="2"/>
      <scheme val="minor"/>
    </font>
    <font>
      <b/>
      <sz val="11"/>
      <color rgb="FF0070C0"/>
      <name val="宋体"/>
      <family val="2"/>
      <scheme val="minor"/>
    </font>
    <font>
      <sz val="11"/>
      <color rgb="FF0070C0"/>
      <name val="宋体"/>
      <family val="2"/>
      <scheme val="minor"/>
    </font>
    <font>
      <b/>
      <sz val="16"/>
      <color rgb="FFFF0000"/>
      <name val="宋体"/>
      <family val="2"/>
      <scheme val="minor"/>
    </font>
    <font>
      <sz val="11"/>
      <color rgb="FFFF0000"/>
      <name val="宋体"/>
      <family val="2"/>
      <scheme val="minor"/>
    </font>
    <font>
      <sz val="11"/>
      <name val="ＭＳ Ｐゴシック"/>
      <family val="2"/>
    </font>
    <font>
      <sz val="11"/>
      <color theme="1"/>
      <name val="Calibri"/>
      <family val="2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0"/>
      <color rgb="FFFF0000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9"/>
      <color indexed="81"/>
      <name val="Tahoma"/>
      <family val="2"/>
    </font>
    <font>
      <sz val="10"/>
      <color rgb="FF00000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65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3">
    <xf numFmtId="0" fontId="0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1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1" fillId="0" borderId="0" applyNumberFormat="0" applyFill="0" applyBorder="0" applyAlignment="0" applyProtection="0">
      <alignment vertical="center"/>
    </xf>
  </cellStyleXfs>
  <cellXfs count="96">
    <xf numFmtId="0" fontId="0" fillId="0" borderId="0" xfId="0" applyAlignment="1"/>
    <xf numFmtId="0" fontId="1" fillId="0" borderId="0" xfId="0" applyFont="1" applyAlignment="1"/>
    <xf numFmtId="49" fontId="1" fillId="2" borderId="0" xfId="0" applyNumberFormat="1" applyFont="1" applyFill="1" applyAlignment="1"/>
    <xf numFmtId="0" fontId="2" fillId="2" borderId="0" xfId="0" applyFont="1" applyFill="1" applyAlignment="1"/>
    <xf numFmtId="49" fontId="1" fillId="3" borderId="0" xfId="0" applyNumberFormat="1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left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left" vertical="center"/>
    </xf>
    <xf numFmtId="0" fontId="4" fillId="0" borderId="0" xfId="0" applyFont="1" applyAlignment="1"/>
    <xf numFmtId="0" fontId="1" fillId="7" borderId="0" xfId="0" applyFont="1" applyFill="1" applyAlignment="1"/>
    <xf numFmtId="0" fontId="1" fillId="2" borderId="0" xfId="0" applyFont="1" applyFill="1" applyAlignment="1"/>
    <xf numFmtId="0" fontId="5" fillId="0" borderId="1" xfId="0" applyFont="1" applyFill="1" applyBorder="1" applyAlignment="1"/>
    <xf numFmtId="0" fontId="5" fillId="0" borderId="0" xfId="0" applyFont="1" applyAlignment="1"/>
    <xf numFmtId="0" fontId="5" fillId="2" borderId="0" xfId="0" applyFont="1" applyFill="1" applyBorder="1" applyAlignment="1"/>
    <xf numFmtId="0" fontId="5" fillId="0" borderId="0" xfId="0" applyFont="1" applyFill="1" applyBorder="1" applyAlignment="1"/>
    <xf numFmtId="0" fontId="1" fillId="0" borderId="0" xfId="0" applyFont="1" applyBorder="1" applyAlignment="1"/>
    <xf numFmtId="0" fontId="5" fillId="0" borderId="0" xfId="0" applyFont="1" applyFill="1" applyBorder="1" applyAlignment="1">
      <alignment wrapText="1"/>
    </xf>
    <xf numFmtId="0" fontId="1" fillId="0" borderId="0" xfId="0" applyFont="1" applyBorder="1" applyAlignment="1">
      <alignment wrapText="1"/>
    </xf>
    <xf numFmtId="0" fontId="2" fillId="0" borderId="1" xfId="0" applyFont="1" applyBorder="1" applyAlignment="1"/>
    <xf numFmtId="0" fontId="2" fillId="8" borderId="0" xfId="0" applyFont="1" applyFill="1" applyAlignment="1"/>
    <xf numFmtId="0" fontId="0" fillId="10" borderId="1" xfId="0" applyFont="1" applyFill="1" applyBorder="1" applyAlignment="1">
      <alignment horizontal="right" vertical="center"/>
    </xf>
    <xf numFmtId="0" fontId="7" fillId="10" borderId="1" xfId="0" applyFont="1" applyFill="1" applyBorder="1" applyAlignment="1">
      <alignment vertical="center"/>
    </xf>
    <xf numFmtId="0" fontId="0" fillId="0" borderId="3" xfId="0" applyFont="1" applyBorder="1" applyAlignment="1"/>
    <xf numFmtId="0" fontId="7" fillId="0" borderId="1" xfId="0" applyFont="1" applyBorder="1" applyAlignment="1"/>
    <xf numFmtId="0" fontId="0" fillId="0" borderId="0" xfId="0" applyFont="1" applyAlignment="1"/>
    <xf numFmtId="49" fontId="2" fillId="3" borderId="1" xfId="0" applyNumberFormat="1" applyFont="1" applyFill="1" applyBorder="1" applyAlignment="1">
      <alignment horizontal="center" vertical="center"/>
    </xf>
    <xf numFmtId="0" fontId="0" fillId="7" borderId="1" xfId="0" applyFont="1" applyFill="1" applyBorder="1" applyAlignment="1"/>
    <xf numFmtId="0" fontId="8" fillId="0" borderId="0" xfId="0" applyFont="1" applyAlignment="1"/>
    <xf numFmtId="0" fontId="2" fillId="2" borderId="4" xfId="0" applyFont="1" applyFill="1" applyBorder="1" applyAlignment="1"/>
    <xf numFmtId="0" fontId="2" fillId="2" borderId="6" xfId="0" applyFont="1" applyFill="1" applyBorder="1" applyAlignment="1"/>
    <xf numFmtId="0" fontId="2" fillId="2" borderId="5" xfId="0" applyFont="1" applyFill="1" applyBorder="1" applyAlignment="1"/>
    <xf numFmtId="0" fontId="9" fillId="0" borderId="0" xfId="0" applyFont="1" applyAlignment="1"/>
    <xf numFmtId="0" fontId="0" fillId="0" borderId="0" xfId="0" applyFont="1" applyAlignment="1">
      <alignment horizontal="right"/>
    </xf>
    <xf numFmtId="0" fontId="10" fillId="0" borderId="0" xfId="0" applyFont="1" applyAlignment="1"/>
    <xf numFmtId="0" fontId="0" fillId="0" borderId="1" xfId="0" applyFont="1" applyBorder="1" applyAlignment="1"/>
    <xf numFmtId="0" fontId="0" fillId="0" borderId="0" xfId="0" applyFont="1" applyBorder="1" applyAlignment="1"/>
    <xf numFmtId="0" fontId="0" fillId="0" borderId="1" xfId="0" applyFont="1" applyFill="1" applyBorder="1" applyAlignment="1"/>
    <xf numFmtId="0" fontId="15" fillId="0" borderId="1" xfId="0" applyFont="1" applyFill="1" applyBorder="1" applyAlignment="1"/>
    <xf numFmtId="0" fontId="15" fillId="0" borderId="1" xfId="0" applyFont="1" applyFill="1" applyBorder="1" applyAlignment="1">
      <alignment wrapText="1"/>
    </xf>
    <xf numFmtId="0" fontId="1" fillId="9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left"/>
    </xf>
    <xf numFmtId="0" fontId="1" fillId="0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2" borderId="0" xfId="0" applyFont="1" applyFill="1" applyAlignment="1"/>
    <xf numFmtId="0" fontId="15" fillId="0" borderId="2" xfId="0" applyFont="1" applyFill="1" applyBorder="1" applyAlignment="1">
      <alignment wrapText="1"/>
    </xf>
    <xf numFmtId="0" fontId="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left"/>
    </xf>
    <xf numFmtId="0" fontId="15" fillId="0" borderId="1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left"/>
    </xf>
    <xf numFmtId="0" fontId="16" fillId="0" borderId="1" xfId="0" applyFont="1" applyFill="1" applyBorder="1" applyAlignment="1">
      <alignment wrapText="1"/>
    </xf>
    <xf numFmtId="0" fontId="15" fillId="3" borderId="1" xfId="0" applyFont="1" applyFill="1" applyBorder="1" applyAlignment="1"/>
    <xf numFmtId="0" fontId="1" fillId="0" borderId="1" xfId="0" quotePrefix="1" applyFont="1" applyFill="1" applyBorder="1" applyAlignment="1">
      <alignment horizontal="left"/>
    </xf>
    <xf numFmtId="49" fontId="1" fillId="6" borderId="1" xfId="0" applyNumberFormat="1" applyFont="1" applyFill="1" applyBorder="1" applyAlignment="1">
      <alignment horizontal="center" vertical="center"/>
    </xf>
    <xf numFmtId="49" fontId="15" fillId="0" borderId="2" xfId="0" applyNumberFormat="1" applyFont="1" applyFill="1" applyBorder="1" applyAlignment="1">
      <alignment wrapText="1"/>
    </xf>
    <xf numFmtId="49" fontId="15" fillId="0" borderId="1" xfId="0" quotePrefix="1" applyNumberFormat="1" applyFont="1" applyFill="1" applyBorder="1" applyAlignment="1"/>
    <xf numFmtId="49" fontId="15" fillId="0" borderId="1" xfId="0" applyNumberFormat="1" applyFont="1" applyFill="1" applyBorder="1" applyAlignment="1"/>
    <xf numFmtId="0" fontId="19" fillId="0" borderId="2" xfId="0" applyFont="1" applyBorder="1" applyAlignment="1">
      <alignment wrapText="1"/>
    </xf>
    <xf numFmtId="0" fontId="15" fillId="7" borderId="1" xfId="0" applyFont="1" applyFill="1" applyBorder="1" applyAlignment="1"/>
    <xf numFmtId="0" fontId="19" fillId="3" borderId="2" xfId="0" applyFont="1" applyFill="1" applyBorder="1" applyAlignment="1">
      <alignment wrapText="1"/>
    </xf>
    <xf numFmtId="0" fontId="19" fillId="0" borderId="2" xfId="0" applyFont="1" applyFill="1" applyBorder="1" applyAlignment="1">
      <alignment wrapText="1"/>
    </xf>
    <xf numFmtId="49" fontId="15" fillId="3" borderId="1" xfId="0" applyNumberFormat="1" applyFont="1" applyFill="1" applyBorder="1" applyAlignment="1"/>
    <xf numFmtId="49" fontId="19" fillId="0" borderId="2" xfId="0" applyNumberFormat="1" applyFont="1" applyFill="1" applyBorder="1" applyAlignment="1">
      <alignment wrapText="1"/>
    </xf>
    <xf numFmtId="49" fontId="19" fillId="0" borderId="2" xfId="0" applyNumberFormat="1" applyFont="1" applyBorder="1" applyAlignment="1">
      <alignment wrapText="1"/>
    </xf>
    <xf numFmtId="49" fontId="19" fillId="3" borderId="2" xfId="0" applyNumberFormat="1" applyFont="1" applyFill="1" applyBorder="1" applyAlignment="1">
      <alignment wrapText="1"/>
    </xf>
    <xf numFmtId="0" fontId="15" fillId="9" borderId="1" xfId="0" applyFont="1" applyFill="1" applyBorder="1" applyAlignment="1"/>
    <xf numFmtId="49" fontId="15" fillId="9" borderId="1" xfId="0" applyNumberFormat="1" applyFont="1" applyFill="1" applyBorder="1" applyAlignment="1"/>
    <xf numFmtId="0" fontId="19" fillId="7" borderId="2" xfId="0" applyFont="1" applyFill="1" applyBorder="1" applyAlignment="1">
      <alignment wrapText="1"/>
    </xf>
    <xf numFmtId="49" fontId="20" fillId="0" borderId="1" xfId="0" applyNumberFormat="1" applyFont="1" applyFill="1" applyBorder="1" applyAlignment="1"/>
    <xf numFmtId="0" fontId="19" fillId="8" borderId="2" xfId="0" applyFont="1" applyFill="1" applyBorder="1" applyAlignment="1">
      <alignment wrapText="1"/>
    </xf>
    <xf numFmtId="49" fontId="19" fillId="8" borderId="2" xfId="0" applyNumberFormat="1" applyFont="1" applyFill="1" applyBorder="1" applyAlignment="1">
      <alignment wrapText="1"/>
    </xf>
    <xf numFmtId="0" fontId="1" fillId="8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left" vertical="center"/>
    </xf>
    <xf numFmtId="0" fontId="21" fillId="8" borderId="1" xfId="12" applyFill="1" applyBorder="1" applyAlignment="1">
      <alignment horizontal="left"/>
    </xf>
    <xf numFmtId="0" fontId="21" fillId="0" borderId="1" xfId="12" applyFill="1" applyBorder="1" applyAlignment="1">
      <alignment horizontal="left"/>
    </xf>
    <xf numFmtId="0" fontId="21" fillId="0" borderId="1" xfId="12" applyFill="1" applyBorder="1" applyAlignment="1">
      <alignment horizontal="center"/>
    </xf>
    <xf numFmtId="0" fontId="1" fillId="8" borderId="1" xfId="0" applyFont="1" applyFill="1" applyBorder="1" applyAlignment="1">
      <alignment horizontal="left"/>
    </xf>
    <xf numFmtId="0" fontId="15" fillId="0" borderId="4" xfId="0" applyFont="1" applyFill="1" applyBorder="1" applyAlignment="1"/>
    <xf numFmtId="0" fontId="19" fillId="3" borderId="7" xfId="0" applyFont="1" applyFill="1" applyBorder="1" applyAlignment="1">
      <alignment wrapText="1"/>
    </xf>
    <xf numFmtId="49" fontId="19" fillId="3" borderId="7" xfId="0" applyNumberFormat="1" applyFont="1" applyFill="1" applyBorder="1" applyAlignment="1">
      <alignment wrapText="1"/>
    </xf>
    <xf numFmtId="0" fontId="6" fillId="8" borderId="1" xfId="0" applyFont="1" applyFill="1" applyBorder="1" applyAlignment="1">
      <alignment horizontal="left" vertical="center"/>
    </xf>
    <xf numFmtId="0" fontId="0" fillId="10" borderId="4" xfId="0" applyFont="1" applyFill="1" applyBorder="1" applyAlignment="1">
      <alignment horizontal="right" vertical="center"/>
    </xf>
    <xf numFmtId="0" fontId="0" fillId="10" borderId="5" xfId="0" applyFont="1" applyFill="1" applyBorder="1" applyAlignment="1">
      <alignment horizontal="right" vertical="center"/>
    </xf>
    <xf numFmtId="0" fontId="19" fillId="0" borderId="1" xfId="0" applyFont="1" applyFill="1" applyBorder="1" applyAlignment="1">
      <alignment wrapText="1"/>
    </xf>
    <xf numFmtId="49" fontId="19" fillId="0" borderId="1" xfId="0" applyNumberFormat="1" applyFont="1" applyFill="1" applyBorder="1" applyAlignment="1">
      <alignment wrapText="1"/>
    </xf>
  </cellXfs>
  <cellStyles count="13">
    <cellStyle name="標準 2" xfId="4"/>
    <cellStyle name="標準 2 2" xfId="3"/>
    <cellStyle name="標準 3" xfId="1"/>
    <cellStyle name="標準 3 2" xfId="7"/>
    <cellStyle name="常规" xfId="0" builtinId="0"/>
    <cellStyle name="常规 2" xfId="8"/>
    <cellStyle name="常规 3" xfId="9"/>
    <cellStyle name="常规 3 2" xfId="5"/>
    <cellStyle name="常规 4" xfId="6"/>
    <cellStyle name="常规 4 2" xfId="10"/>
    <cellStyle name="常规 5" xfId="11"/>
    <cellStyle name="常规 5 2" xfId="2"/>
    <cellStyle name="超链接" xfId="12" builtinId="8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6</xdr:row>
          <xdr:rowOff>66675</xdr:rowOff>
        </xdr:from>
        <xdr:to>
          <xdr:col>2</xdr:col>
          <xdr:colOff>2743200</xdr:colOff>
          <xdr:row>8</xdr:row>
          <xdr:rowOff>123825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localhost:8081/_download" TargetMode="External"/><Relationship Id="rId3" Type="http://schemas.openxmlformats.org/officeDocument/2006/relationships/hyperlink" Target="ftp://ftp.pwd/" TargetMode="External"/><Relationship Id="rId7" Type="http://schemas.openxmlformats.org/officeDocument/2006/relationships/hyperlink" Target="http://localhost:8080/msk-file/file/_upload" TargetMode="External"/><Relationship Id="rId2" Type="http://schemas.openxmlformats.org/officeDocument/2006/relationships/hyperlink" Target="ftp://ftp.user/" TargetMode="External"/><Relationship Id="rId1" Type="http://schemas.openxmlformats.org/officeDocument/2006/relationships/hyperlink" Target="ftp://ftp.ip/" TargetMode="External"/><Relationship Id="rId6" Type="http://schemas.openxmlformats.org/officeDocument/2006/relationships/hyperlink" Target="http://localhost:8080/msk-web" TargetMode="External"/><Relationship Id="rId5" Type="http://schemas.openxmlformats.org/officeDocument/2006/relationships/hyperlink" Target="http://10.20.16.152:8888/msk-so-cp/api/cp/sellerCharging" TargetMode="External"/><Relationship Id="rId10" Type="http://schemas.openxmlformats.org/officeDocument/2006/relationships/comments" Target="../comments2.xml"/><Relationship Id="rId4" Type="http://schemas.openxmlformats.org/officeDocument/2006/relationships/hyperlink" Target="ftp://ftp.imagerootpath/" TargetMode="External"/><Relationship Id="rId9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hyperlink" Target="ftp://ftp.pwd/" TargetMode="External"/><Relationship Id="rId7" Type="http://schemas.openxmlformats.org/officeDocument/2006/relationships/hyperlink" Target="http://10.171.246.164/msk-web" TargetMode="External"/><Relationship Id="rId2" Type="http://schemas.openxmlformats.org/officeDocument/2006/relationships/hyperlink" Target="ftp://ftp.user/" TargetMode="External"/><Relationship Id="rId1" Type="http://schemas.openxmlformats.org/officeDocument/2006/relationships/hyperlink" Target="ftp://ftp.ip/" TargetMode="External"/><Relationship Id="rId6" Type="http://schemas.openxmlformats.org/officeDocument/2006/relationships/hyperlink" Target="http://10.171.246.164/_download" TargetMode="External"/><Relationship Id="rId5" Type="http://schemas.openxmlformats.org/officeDocument/2006/relationships/hyperlink" Target="http://10.171.246.164/_upload" TargetMode="External"/><Relationship Id="rId4" Type="http://schemas.openxmlformats.org/officeDocument/2006/relationships/hyperlink" Target="ftp://ftp.imagerootpath/" TargetMode="External"/><Relationship Id="rId9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hyperlink" Target="ftp://ftp.pwd/" TargetMode="External"/><Relationship Id="rId7" Type="http://schemas.openxmlformats.org/officeDocument/2006/relationships/hyperlink" Target="http://10.45.21.248/msk-web" TargetMode="External"/><Relationship Id="rId2" Type="http://schemas.openxmlformats.org/officeDocument/2006/relationships/hyperlink" Target="ftp://ftp.user/" TargetMode="External"/><Relationship Id="rId1" Type="http://schemas.openxmlformats.org/officeDocument/2006/relationships/hyperlink" Target="ftp://ftp.ip/" TargetMode="External"/><Relationship Id="rId6" Type="http://schemas.openxmlformats.org/officeDocument/2006/relationships/hyperlink" Target="http://10.45.21.248/_download" TargetMode="External"/><Relationship Id="rId5" Type="http://schemas.openxmlformats.org/officeDocument/2006/relationships/hyperlink" Target="http://10.45.21.248/_upload" TargetMode="External"/><Relationship Id="rId4" Type="http://schemas.openxmlformats.org/officeDocument/2006/relationships/hyperlink" Target="ftp://ftp.imagerootpath/" TargetMode="External"/><Relationship Id="rId9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hyperlink" Target="ftp://ftp.pwd/" TargetMode="External"/><Relationship Id="rId7" Type="http://schemas.openxmlformats.org/officeDocument/2006/relationships/hyperlink" Target="http://10.20.10.100/bms" TargetMode="External"/><Relationship Id="rId2" Type="http://schemas.openxmlformats.org/officeDocument/2006/relationships/hyperlink" Target="ftp://ftp.user/" TargetMode="External"/><Relationship Id="rId1" Type="http://schemas.openxmlformats.org/officeDocument/2006/relationships/hyperlink" Target="ftp://ftp.ip/" TargetMode="External"/><Relationship Id="rId6" Type="http://schemas.openxmlformats.org/officeDocument/2006/relationships/hyperlink" Target="http://10.20.10.100/_download" TargetMode="External"/><Relationship Id="rId5" Type="http://schemas.openxmlformats.org/officeDocument/2006/relationships/hyperlink" Target="http://10.20.10.100/_upload" TargetMode="External"/><Relationship Id="rId4" Type="http://schemas.openxmlformats.org/officeDocument/2006/relationships/hyperlink" Target="ftp://ftp.imagerootpath/" TargetMode="External"/><Relationship Id="rId9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://localhost:8081/_download" TargetMode="External"/><Relationship Id="rId3" Type="http://schemas.openxmlformats.org/officeDocument/2006/relationships/hyperlink" Target="ftp://ftp.pwd/" TargetMode="External"/><Relationship Id="rId7" Type="http://schemas.openxmlformats.org/officeDocument/2006/relationships/hyperlink" Target="http://localhost:8080/msk-file/file/_upload" TargetMode="External"/><Relationship Id="rId2" Type="http://schemas.openxmlformats.org/officeDocument/2006/relationships/hyperlink" Target="ftp://ftp.user/" TargetMode="External"/><Relationship Id="rId1" Type="http://schemas.openxmlformats.org/officeDocument/2006/relationships/hyperlink" Target="ftp://ftp.ip/" TargetMode="External"/><Relationship Id="rId6" Type="http://schemas.openxmlformats.org/officeDocument/2006/relationships/hyperlink" Target="http://localhost:8080/msk-web" TargetMode="External"/><Relationship Id="rId11" Type="http://schemas.openxmlformats.org/officeDocument/2006/relationships/comments" Target="../comments6.xml"/><Relationship Id="rId5" Type="http://schemas.openxmlformats.org/officeDocument/2006/relationships/hyperlink" Target="http://10.20.16.152:8888/msk-so-cp/api/cp/sellerCharging" TargetMode="External"/><Relationship Id="rId10" Type="http://schemas.openxmlformats.org/officeDocument/2006/relationships/vmlDrawing" Target="../drawings/vmlDrawing7.vml"/><Relationship Id="rId4" Type="http://schemas.openxmlformats.org/officeDocument/2006/relationships/hyperlink" Target="ftp://ftp.imagerootpath/" TargetMode="External"/><Relationship Id="rId9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7030A0"/>
  </sheetPr>
  <dimension ref="A1:K25"/>
  <sheetViews>
    <sheetView workbookViewId="0">
      <selection activeCell="A2" sqref="A2"/>
    </sheetView>
  </sheetViews>
  <sheetFormatPr defaultColWidth="9" defaultRowHeight="13.5"/>
  <cols>
    <col min="1" max="1" width="24.625" customWidth="1"/>
    <col min="2" max="2" width="10.375" customWidth="1"/>
    <col min="3" max="3" width="40.125" customWidth="1"/>
    <col min="4" max="4" width="10.5" customWidth="1"/>
    <col min="11" max="11" width="9" hidden="1" customWidth="1"/>
  </cols>
  <sheetData>
    <row r="1" spans="1:11" ht="14.25">
      <c r="A1" s="91" t="s">
        <v>0</v>
      </c>
      <c r="B1" s="91"/>
      <c r="C1" s="91"/>
    </row>
    <row r="2" spans="1:11" ht="15.95" customHeight="1">
      <c r="A2" s="27" t="s">
        <v>1</v>
      </c>
      <c r="B2" s="28" t="s">
        <v>605</v>
      </c>
      <c r="C2" s="25"/>
      <c r="K2" s="31"/>
    </row>
    <row r="3" spans="1:11" ht="15.95" customHeight="1">
      <c r="A3" s="27" t="s">
        <v>2</v>
      </c>
      <c r="B3" s="28" t="s">
        <v>16</v>
      </c>
      <c r="C3" s="29" t="s">
        <v>3</v>
      </c>
    </row>
    <row r="4" spans="1:11" ht="15.95" customHeight="1">
      <c r="A4" s="92" t="s">
        <v>4</v>
      </c>
      <c r="B4" s="30" t="s">
        <v>5</v>
      </c>
      <c r="C4" s="29" t="s">
        <v>6</v>
      </c>
      <c r="D4" s="31"/>
    </row>
    <row r="5" spans="1:11" ht="15.95" customHeight="1">
      <c r="A5" s="93"/>
      <c r="B5" s="32" t="s">
        <v>604</v>
      </c>
      <c r="C5" s="33" t="s">
        <v>8</v>
      </c>
      <c r="D5" s="34" t="s">
        <v>9</v>
      </c>
    </row>
    <row r="6" spans="1:11" ht="15.95" customHeight="1"/>
    <row r="7" spans="1:11" ht="15.95" customHeight="1">
      <c r="C7" s="35"/>
    </row>
    <row r="8" spans="1:11" ht="15.95" customHeight="1">
      <c r="C8" s="36"/>
    </row>
    <row r="9" spans="1:11" ht="15.95" customHeight="1">
      <c r="C9" s="37"/>
    </row>
    <row r="10" spans="1:11" ht="21" customHeight="1">
      <c r="A10" s="38" t="s">
        <v>10</v>
      </c>
    </row>
    <row r="11" spans="1:11" ht="15.95" customHeight="1"/>
    <row r="12" spans="1:11" s="26" customFormat="1" ht="15.95" customHeight="1"/>
    <row r="13" spans="1:11" ht="15.95" customHeight="1">
      <c r="A13" s="31" t="s">
        <v>11</v>
      </c>
    </row>
    <row r="14" spans="1:11" ht="15.95" customHeight="1">
      <c r="A14" s="31" t="s">
        <v>12</v>
      </c>
    </row>
    <row r="15" spans="1:11" ht="15.95" customHeight="1">
      <c r="A15" s="31" t="s">
        <v>13</v>
      </c>
    </row>
    <row r="16" spans="1:11" ht="15.95" customHeight="1">
      <c r="A16" s="39" t="s">
        <v>14</v>
      </c>
      <c r="B16" s="31" t="s">
        <v>15</v>
      </c>
      <c r="K16" s="41" t="s">
        <v>16</v>
      </c>
    </row>
    <row r="17" spans="1:11" ht="15.95" customHeight="1">
      <c r="A17" s="39" t="s">
        <v>17</v>
      </c>
      <c r="B17" s="31" t="s">
        <v>18</v>
      </c>
      <c r="K17" s="41" t="s">
        <v>19</v>
      </c>
    </row>
    <row r="18" spans="1:11" ht="15.95" customHeight="1">
      <c r="A18" s="39" t="s">
        <v>20</v>
      </c>
      <c r="B18" s="31" t="s">
        <v>21</v>
      </c>
      <c r="K18" s="41" t="s">
        <v>22</v>
      </c>
    </row>
    <row r="19" spans="1:11">
      <c r="A19" s="39" t="s">
        <v>23</v>
      </c>
      <c r="B19" s="31" t="s">
        <v>24</v>
      </c>
      <c r="K19" s="41" t="s">
        <v>25</v>
      </c>
    </row>
    <row r="20" spans="1:11">
      <c r="A20" s="39"/>
      <c r="B20" s="40" t="s">
        <v>26</v>
      </c>
      <c r="K20" s="42"/>
    </row>
    <row r="21" spans="1:11">
      <c r="A21" s="39" t="s">
        <v>27</v>
      </c>
    </row>
    <row r="22" spans="1:11">
      <c r="B22" s="31" t="s">
        <v>28</v>
      </c>
      <c r="K22" s="41" t="s">
        <v>29</v>
      </c>
    </row>
    <row r="23" spans="1:11">
      <c r="B23" s="31" t="s">
        <v>30</v>
      </c>
      <c r="K23" s="43" t="s">
        <v>31</v>
      </c>
    </row>
    <row r="24" spans="1:11">
      <c r="B24" s="31" t="s">
        <v>32</v>
      </c>
      <c r="K24" s="43" t="s">
        <v>33</v>
      </c>
    </row>
    <row r="25" spans="1:11">
      <c r="B25" s="31" t="s">
        <v>34</v>
      </c>
      <c r="K25" s="43" t="s">
        <v>5</v>
      </c>
    </row>
  </sheetData>
  <mergeCells count="2">
    <mergeCell ref="A1:C1"/>
    <mergeCell ref="A4:A5"/>
  </mergeCells>
  <phoneticPr fontId="14" type="noConversion"/>
  <dataValidations count="2">
    <dataValidation type="list" allowBlank="1" showInputMessage="1" showErrorMessage="1" sqref="B3">
      <formula1>$K$16:$K$19</formula1>
    </dataValidation>
    <dataValidation type="list" allowBlank="1" showInputMessage="1" showErrorMessage="1" sqref="B4">
      <formula1>$K$22:$K$25</formula1>
    </dataValidation>
  </dataValidations>
  <pageMargins left="0.69930555555555596" right="0.69930555555555596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9" r:id="rId4" name="Button 5">
              <controlPr defaultSize="0" print="0" autoPict="0" macro="[0]!Sheet21.CreateSQL_Click">
                <anchor moveWithCells="1" sizeWithCells="1">
                  <from>
                    <xdr:col>2</xdr:col>
                    <xdr:colOff>190500</xdr:colOff>
                    <xdr:row>6</xdr:row>
                    <xdr:rowOff>66675</xdr:rowOff>
                  </from>
                  <to>
                    <xdr:col>2</xdr:col>
                    <xdr:colOff>2743200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K602"/>
  <sheetViews>
    <sheetView tabSelected="1" view="pageBreakPreview" zoomScale="85" zoomScaleSheetLayoutView="85" workbookViewId="0">
      <pane xSplit="1" ySplit="4" topLeftCell="B301" activePane="bottomRight" state="frozen"/>
      <selection pane="topRight" activeCell="B1" sqref="B1"/>
      <selection pane="bottomLeft" activeCell="A5" sqref="A5"/>
      <selection pane="bottomRight" activeCell="B310" sqref="B310"/>
    </sheetView>
  </sheetViews>
  <sheetFormatPr defaultColWidth="8.875" defaultRowHeight="12"/>
  <cols>
    <col min="1" max="1" width="1.875" style="1" customWidth="1"/>
    <col min="2" max="2" width="5.125" style="1" customWidth="1"/>
    <col min="3" max="3" width="30" style="1" customWidth="1"/>
    <col min="4" max="4" width="28.5" style="1" customWidth="1"/>
    <col min="5" max="5" width="21" style="1" customWidth="1"/>
    <col min="6" max="6" width="16.125" style="1" customWidth="1"/>
    <col min="7" max="7" width="9" style="1" customWidth="1"/>
    <col min="8" max="8" width="17.5" style="1" customWidth="1"/>
    <col min="9" max="9" width="26.125" style="1" customWidth="1"/>
    <col min="10" max="10" width="2.125" style="1" customWidth="1"/>
    <col min="11" max="16384" width="8.875" style="1"/>
  </cols>
  <sheetData>
    <row r="1" spans="2:11">
      <c r="B1" s="2" t="s">
        <v>35</v>
      </c>
      <c r="C1" s="17" t="s">
        <v>56</v>
      </c>
      <c r="D1" s="4" t="s">
        <v>7</v>
      </c>
    </row>
    <row r="2" spans="2:11" ht="12" customHeight="1">
      <c r="B2" s="5" t="s">
        <v>57</v>
      </c>
      <c r="C2" s="5" t="s">
        <v>58</v>
      </c>
      <c r="D2" s="5" t="s">
        <v>59</v>
      </c>
      <c r="E2" s="5" t="s">
        <v>60</v>
      </c>
      <c r="F2" s="5" t="s">
        <v>61</v>
      </c>
      <c r="G2" s="5" t="s">
        <v>36</v>
      </c>
      <c r="H2" s="6" t="s">
        <v>62</v>
      </c>
      <c r="I2" s="6" t="s">
        <v>63</v>
      </c>
      <c r="K2" s="19"/>
    </row>
    <row r="3" spans="2:11" ht="12" customHeight="1">
      <c r="B3" s="5" t="s">
        <v>64</v>
      </c>
      <c r="C3" s="5" t="s">
        <v>65</v>
      </c>
      <c r="D3" s="5" t="s">
        <v>66</v>
      </c>
      <c r="E3" s="5" t="s">
        <v>67</v>
      </c>
      <c r="F3" s="5" t="s">
        <v>68</v>
      </c>
      <c r="G3" s="5" t="s">
        <v>37</v>
      </c>
      <c r="H3" s="6"/>
      <c r="I3" s="6"/>
      <c r="K3" s="19"/>
    </row>
    <row r="4" spans="2:11" ht="12" customHeight="1">
      <c r="B4" s="7" t="s">
        <v>38</v>
      </c>
      <c r="C4" s="7"/>
      <c r="D4" s="7"/>
      <c r="E4" s="7"/>
      <c r="F4" s="64"/>
      <c r="G4" s="7"/>
      <c r="H4" s="7"/>
      <c r="I4" s="7"/>
      <c r="K4" s="19" t="str">
        <f>"DELETE FROM `"&amp;$C$1&amp;"`;"</f>
        <v>DELETE FROM `comm_constant`;</v>
      </c>
    </row>
    <row r="5" spans="2:11">
      <c r="B5" s="18">
        <f t="shared" ref="B5:B201" si="0">ROW()-4</f>
        <v>1</v>
      </c>
      <c r="C5" s="18" t="s">
        <v>69</v>
      </c>
      <c r="D5" s="44" t="s">
        <v>70</v>
      </c>
      <c r="E5" s="44" t="s">
        <v>71</v>
      </c>
      <c r="F5" s="67">
        <v>0</v>
      </c>
      <c r="G5" s="44">
        <v>0</v>
      </c>
      <c r="H5" s="44" t="s">
        <v>935</v>
      </c>
      <c r="I5" s="45"/>
      <c r="K5" s="19" t="str">
        <f>"INSERT INTO `comm_constant` (`ID`,`CONSTANT_TYPE`,`CONSTANT_TYPE_NAME`,`CONSTANT_NAME`,`CONSTANT_VALUE`,`DEL_FLG`,`CRT_ID`,`CRT_TIME`,`UPD_ID`,`UPD_TIME`,`ACT_ID`,`ACT_TIME`,`VER`) VALUES ("&amp;IF(B5="","NULL","'"&amp;B5&amp;"'")&amp;", "&amp;IF(C5="","NULL","'"&amp;C5&amp;"'")&amp;", "&amp;IF(D5="","NULL","'"&amp;D5&amp;"'")&amp;", "&amp;IF(E5="","NULL","'"&amp;E5&amp;"'")&amp;", "&amp;IF(F5="","NULL","'"&amp;F5&amp;"'")&amp;", "&amp;IF(G5="","NULL","'"&amp;G5&amp;"'")&amp;", 'admin', now(), 'admin', now(), 'admin', now(), 1);"</f>
        <v>INSERT INTO `comm_constant` (`ID`,`CONSTANT_TYPE`,`CONSTANT_TYPE_NAME`,`CONSTANT_NAME`,`CONSTANT_VALUE`,`DEL_FLG`,`CRT_ID`,`CRT_TIME`,`UPD_ID`,`UPD_TIME`,`ACT_ID`,`ACT_TIME`,`VER`) VALUES ('1', 'YESNO', '是否', '否', '0', '0', 'admin', now(), 'admin', now(), 'admin', now(), 1);</v>
      </c>
    </row>
    <row r="6" spans="2:11">
      <c r="B6" s="44">
        <f t="shared" si="0"/>
        <v>2</v>
      </c>
      <c r="C6" s="44" t="s">
        <v>69</v>
      </c>
      <c r="D6" s="44" t="s">
        <v>70</v>
      </c>
      <c r="E6" s="44" t="s">
        <v>72</v>
      </c>
      <c r="F6" s="67">
        <v>1</v>
      </c>
      <c r="G6" s="44">
        <v>0</v>
      </c>
      <c r="H6" s="44" t="s">
        <v>935</v>
      </c>
      <c r="I6" s="45"/>
      <c r="K6" s="19" t="str">
        <f t="shared" ref="K6:K69" si="1">"INSERT INTO `comm_constant` (`ID`,`CONSTANT_TYPE`,`CONSTANT_TYPE_NAME`,`CONSTANT_NAME`,`CONSTANT_VALUE`,`DEL_FLG`,`CRT_ID`,`CRT_TIME`,`UPD_ID`,`UPD_TIME`,`ACT_ID`,`ACT_TIME`,`VER`) VALUES ("&amp;IF(B6="","NULL","'"&amp;B6&amp;"'")&amp;", "&amp;IF(C6="","NULL","'"&amp;C6&amp;"'")&amp;", "&amp;IF(D6="","NULL","'"&amp;D6&amp;"'")&amp;", "&amp;IF(E6="","NULL","'"&amp;E6&amp;"'")&amp;", "&amp;IF(F6="","NULL","'"&amp;F6&amp;"'")&amp;", "&amp;IF(G6="","NULL","'"&amp;G6&amp;"'")&amp;", 'admin', now(), 'admin', now(), 'admin', now(), 1);"</f>
        <v>INSERT INTO `comm_constant` (`ID`,`CONSTANT_TYPE`,`CONSTANT_TYPE_NAME`,`CONSTANT_NAME`,`CONSTANT_VALUE`,`DEL_FLG`,`CRT_ID`,`CRT_TIME`,`UPD_ID`,`UPD_TIME`,`ACT_ID`,`ACT_TIME`,`VER`) VALUES ('2', 'YESNO', '是否', '是', '1', '0', 'admin', now(), 'admin', now(), 'admin', now(), 1);</v>
      </c>
    </row>
    <row r="7" spans="2:11">
      <c r="B7" s="44">
        <f t="shared" ref="B7:B536" si="2">ROW()-4</f>
        <v>3</v>
      </c>
      <c r="C7" s="68" t="s">
        <v>639</v>
      </c>
      <c r="D7" s="55" t="s">
        <v>51</v>
      </c>
      <c r="E7" s="55" t="s">
        <v>805</v>
      </c>
      <c r="F7" s="65">
        <v>1</v>
      </c>
      <c r="G7" s="68">
        <v>0</v>
      </c>
      <c r="H7" s="69" t="s">
        <v>934</v>
      </c>
      <c r="I7" s="68" t="s">
        <v>328</v>
      </c>
      <c r="K7" s="19" t="str">
        <f t="shared" si="1"/>
        <v>INSERT INTO `comm_constant` (`ID`,`CONSTANT_TYPE`,`CONSTANT_TYPE_NAME`,`CONSTANT_NAME`,`CONSTANT_VALUE`,`DEL_FLG`,`CRT_ID`,`CRT_TIME`,`UPD_ID`,`UPD_TIME`,`ACT_ID`,`ACT_TIME`,`VER`) VALUES ('3', 'LoginUserType', '登录用户区分', '员工', '1', '0', 'admin', now(), 'admin', now(), 'admin', now(), 1);</v>
      </c>
    </row>
    <row r="8" spans="2:11">
      <c r="B8" s="44">
        <f t="shared" si="2"/>
        <v>4</v>
      </c>
      <c r="C8" s="68" t="s">
        <v>473</v>
      </c>
      <c r="D8" s="55" t="s">
        <v>51</v>
      </c>
      <c r="E8" s="55" t="s">
        <v>706</v>
      </c>
      <c r="F8" s="65">
        <v>2</v>
      </c>
      <c r="G8" s="68">
        <v>0</v>
      </c>
      <c r="H8" s="69" t="s">
        <v>934</v>
      </c>
      <c r="I8" s="68" t="s">
        <v>474</v>
      </c>
      <c r="K8" s="19" t="str">
        <f t="shared" si="1"/>
        <v>INSERT INTO `comm_constant` (`ID`,`CONSTANT_TYPE`,`CONSTANT_TYPE_NAME`,`CONSTANT_NAME`,`CONSTANT_VALUE`,`DEL_FLG`,`CRT_ID`,`CRT_TIME`,`UPD_ID`,`UPD_TIME`,`ACT_ID`,`ACT_TIME`,`VER`) VALUES ('4', 'LoginUserType', '登录用户区分', '卖家/供应商', '2', '0', 'admin', now(), 'admin', now(), 'admin', now(), 1);</v>
      </c>
    </row>
    <row r="9" spans="2:11">
      <c r="B9" s="44">
        <f t="shared" si="2"/>
        <v>5</v>
      </c>
      <c r="C9" s="68" t="s">
        <v>473</v>
      </c>
      <c r="D9" s="55" t="s">
        <v>51</v>
      </c>
      <c r="E9" s="55" t="s">
        <v>406</v>
      </c>
      <c r="F9" s="65">
        <v>3</v>
      </c>
      <c r="G9" s="70">
        <v>1</v>
      </c>
      <c r="H9" s="69" t="s">
        <v>934</v>
      </c>
      <c r="I9" s="68" t="s">
        <v>406</v>
      </c>
      <c r="K9" s="19" t="str">
        <f t="shared" si="1"/>
        <v>INSERT INTO `comm_constant` (`ID`,`CONSTANT_TYPE`,`CONSTANT_TYPE_NAME`,`CONSTANT_NAME`,`CONSTANT_VALUE`,`DEL_FLG`,`CRT_ID`,`CRT_TIME`,`UPD_ID`,`UPD_TIME`,`ACT_ID`,`ACT_TIME`,`VER`) VALUES ('5', 'LoginUserType', '登录用户区分', '买家', '3', '1', 'admin', now(), 'admin', now(), 'admin', now(), 1);</v>
      </c>
    </row>
    <row r="10" spans="2:11">
      <c r="B10" s="44">
        <f t="shared" si="2"/>
        <v>6</v>
      </c>
      <c r="C10" s="71" t="s">
        <v>473</v>
      </c>
      <c r="D10" s="55" t="s">
        <v>51</v>
      </c>
      <c r="E10" s="55" t="s">
        <v>840</v>
      </c>
      <c r="F10" s="65">
        <v>4</v>
      </c>
      <c r="G10" s="71">
        <v>0</v>
      </c>
      <c r="H10" s="69" t="s">
        <v>934</v>
      </c>
      <c r="I10" s="68" t="s">
        <v>804</v>
      </c>
      <c r="K10" s="19" t="str">
        <f t="shared" si="1"/>
        <v>INSERT INTO `comm_constant` (`ID`,`CONSTANT_TYPE`,`CONSTANT_TYPE_NAME`,`CONSTANT_NAME`,`CONSTANT_VALUE`,`DEL_FLG`,`CRT_ID`,`CRT_TIME`,`UPD_ID`,`UPD_TIME`,`ACT_ID`,`ACT_TIME`,`VER`) VALUES ('6', 'LoginUserType', '登录用户区分', 'VIP GUEST', '4', '0', 'admin', now(), 'admin', now(), 'admin', now(), 1);</v>
      </c>
    </row>
    <row r="11" spans="2:11">
      <c r="B11" s="44">
        <f t="shared" si="2"/>
        <v>7</v>
      </c>
      <c r="C11" s="71" t="s">
        <v>473</v>
      </c>
      <c r="D11" s="55" t="s">
        <v>51</v>
      </c>
      <c r="E11" s="55" t="s">
        <v>884</v>
      </c>
      <c r="F11" s="65">
        <v>9</v>
      </c>
      <c r="G11" s="71">
        <v>1</v>
      </c>
      <c r="H11" s="69" t="s">
        <v>934</v>
      </c>
      <c r="I11" s="68" t="s">
        <v>884</v>
      </c>
      <c r="K11" s="19" t="str">
        <f t="shared" si="1"/>
        <v>INSERT INTO `comm_constant` (`ID`,`CONSTANT_TYPE`,`CONSTANT_TYPE_NAME`,`CONSTANT_NAME`,`CONSTANT_VALUE`,`DEL_FLG`,`CRT_ID`,`CRT_TIME`,`UPD_ID`,`UPD_TIME`,`ACT_ID`,`ACT_TIME`,`VER`) VALUES ('7', 'LoginUserType', '登录用户区分', '系统管理员', '9', '1', 'admin', now(), 'admin', now(), 'admin', now(), 1);</v>
      </c>
    </row>
    <row r="12" spans="2:11">
      <c r="B12" s="44">
        <f t="shared" si="0"/>
        <v>8</v>
      </c>
      <c r="C12" s="44" t="s">
        <v>73</v>
      </c>
      <c r="D12" s="44" t="s">
        <v>74</v>
      </c>
      <c r="E12" s="44" t="s">
        <v>75</v>
      </c>
      <c r="F12" s="67">
        <v>1</v>
      </c>
      <c r="G12" s="44">
        <v>0</v>
      </c>
      <c r="H12" s="44" t="s">
        <v>937</v>
      </c>
      <c r="I12" s="45"/>
      <c r="K12" s="19" t="str">
        <f t="shared" si="1"/>
        <v>INSERT INTO `comm_constant` (`ID`,`CONSTANT_TYPE`,`CONSTANT_TYPE_NAME`,`CONSTANT_NAME`,`CONSTANT_VALUE`,`DEL_FLG`,`CRT_ID`,`CRT_TIME`,`UPD_ID`,`UPD_TIME`,`ACT_ID`,`ACT_TIME`,`VER`) VALUES ('8', 'DivisionLevel', '行政区域划分级别', '大区', '1', '0', 'admin', now(), 'admin', now(), 'admin', now(), 1);</v>
      </c>
    </row>
    <row r="13" spans="2:11">
      <c r="B13" s="44">
        <f t="shared" si="0"/>
        <v>9</v>
      </c>
      <c r="C13" s="44" t="s">
        <v>73</v>
      </c>
      <c r="D13" s="44" t="s">
        <v>74</v>
      </c>
      <c r="E13" s="44" t="s">
        <v>76</v>
      </c>
      <c r="F13" s="67">
        <v>2</v>
      </c>
      <c r="G13" s="44">
        <v>0</v>
      </c>
      <c r="H13" s="44" t="s">
        <v>936</v>
      </c>
      <c r="I13" s="45"/>
      <c r="K13" s="19" t="str">
        <f t="shared" si="1"/>
        <v>INSERT INTO `comm_constant` (`ID`,`CONSTANT_TYPE`,`CONSTANT_TYPE_NAME`,`CONSTANT_NAME`,`CONSTANT_VALUE`,`DEL_FLG`,`CRT_ID`,`CRT_TIME`,`UPD_ID`,`UPD_TIME`,`ACT_ID`,`ACT_TIME`,`VER`) VALUES ('9', 'DivisionLevel', '行政区域划分级别', '省或物流区', '2', '0', 'admin', now(), 'admin', now(), 'admin', now(), 1);</v>
      </c>
    </row>
    <row r="14" spans="2:11">
      <c r="B14" s="44">
        <f t="shared" si="0"/>
        <v>10</v>
      </c>
      <c r="C14" s="44" t="s">
        <v>73</v>
      </c>
      <c r="D14" s="44" t="s">
        <v>74</v>
      </c>
      <c r="E14" s="44" t="s">
        <v>77</v>
      </c>
      <c r="F14" s="67">
        <v>3</v>
      </c>
      <c r="G14" s="44">
        <v>0</v>
      </c>
      <c r="H14" s="44" t="s">
        <v>936</v>
      </c>
      <c r="I14" s="45"/>
      <c r="K14" s="19" t="str">
        <f t="shared" si="1"/>
        <v>INSERT INTO `comm_constant` (`ID`,`CONSTANT_TYPE`,`CONSTANT_TYPE_NAME`,`CONSTANT_NAME`,`CONSTANT_VALUE`,`DEL_FLG`,`CRT_ID`,`CRT_TIME`,`UPD_ID`,`UPD_TIME`,`ACT_ID`,`ACT_TIME`,`VER`) VALUES ('10', 'DivisionLevel', '行政区域划分级别', '城市（区域）', '3', '0', 'admin', now(), 'admin', now(), 'admin', now(), 1);</v>
      </c>
    </row>
    <row r="15" spans="2:11">
      <c r="B15" s="44">
        <f t="shared" si="0"/>
        <v>11</v>
      </c>
      <c r="C15" s="44" t="s">
        <v>73</v>
      </c>
      <c r="D15" s="44" t="s">
        <v>74</v>
      </c>
      <c r="E15" s="44" t="s">
        <v>78</v>
      </c>
      <c r="F15" s="67">
        <v>4</v>
      </c>
      <c r="G15" s="44">
        <v>0</v>
      </c>
      <c r="H15" s="44" t="s">
        <v>936</v>
      </c>
      <c r="I15" s="45"/>
      <c r="K15" s="19" t="str">
        <f t="shared" si="1"/>
        <v>INSERT INTO `comm_constant` (`ID`,`CONSTANT_TYPE`,`CONSTANT_TYPE_NAME`,`CONSTANT_NAME`,`CONSTANT_VALUE`,`DEL_FLG`,`CRT_ID`,`CRT_TIME`,`UPD_ID`,`UPD_TIME`,`ACT_ID`,`ACT_TIME`,`VER`) VALUES ('11', 'DivisionLevel', '行政区域划分级别', '区（县）', '4', '0', 'admin', now(), 'admin', now(), 'admin', now(), 1);</v>
      </c>
    </row>
    <row r="16" spans="2:11">
      <c r="B16" s="44">
        <f t="shared" si="2"/>
        <v>12</v>
      </c>
      <c r="C16" s="71" t="s">
        <v>927</v>
      </c>
      <c r="D16" s="55" t="s">
        <v>929</v>
      </c>
      <c r="E16" s="55" t="s">
        <v>933</v>
      </c>
      <c r="F16" s="65">
        <v>0</v>
      </c>
      <c r="G16" s="71">
        <v>0</v>
      </c>
      <c r="H16" s="44" t="s">
        <v>936</v>
      </c>
      <c r="I16" s="68"/>
      <c r="K16" s="19" t="str">
        <f t="shared" si="1"/>
        <v>INSERT INTO `comm_constant` (`ID`,`CONSTANT_TYPE`,`CONSTANT_TYPE_NAME`,`CONSTANT_NAME`,`CONSTANT_VALUE`,`DEL_FLG`,`CRT_ID`,`CRT_TIME`,`UPD_ID`,`UPD_TIME`,`ACT_ID`,`ACT_TIME`,`VER`) VALUES ('12', 'ReaderStatus', '通知查看状态', '未读', '0', '0', 'admin', now(), 'admin', now(), 'admin', now(), 1);</v>
      </c>
    </row>
    <row r="17" spans="2:11">
      <c r="B17" s="44">
        <f t="shared" si="2"/>
        <v>13</v>
      </c>
      <c r="C17" s="71" t="s">
        <v>927</v>
      </c>
      <c r="D17" s="55" t="s">
        <v>929</v>
      </c>
      <c r="E17" s="55" t="s">
        <v>932</v>
      </c>
      <c r="F17" s="65">
        <v>1</v>
      </c>
      <c r="G17" s="71">
        <v>0</v>
      </c>
      <c r="H17" s="44" t="s">
        <v>936</v>
      </c>
      <c r="I17" s="68"/>
      <c r="K17" s="19" t="str">
        <f t="shared" si="1"/>
        <v>INSERT INTO `comm_constant` (`ID`,`CONSTANT_TYPE`,`CONSTANT_TYPE_NAME`,`CONSTANT_NAME`,`CONSTANT_VALUE`,`DEL_FLG`,`CRT_ID`,`CRT_TIME`,`UPD_ID`,`UPD_TIME`,`ACT_ID`,`ACT_TIME`,`VER`) VALUES ('13', 'ReaderStatus', '通知查看状态', '已读', '1', '0', 'admin', now(), 'admin', now(), 'admin', now(), 1);</v>
      </c>
    </row>
    <row r="18" spans="2:11">
      <c r="B18" s="44">
        <f t="shared" si="2"/>
        <v>14</v>
      </c>
      <c r="C18" s="71" t="s">
        <v>928</v>
      </c>
      <c r="D18" s="55" t="s">
        <v>930</v>
      </c>
      <c r="E18" s="55" t="s">
        <v>931</v>
      </c>
      <c r="F18" s="65">
        <v>1</v>
      </c>
      <c r="G18" s="71">
        <v>0</v>
      </c>
      <c r="H18" s="44" t="s">
        <v>936</v>
      </c>
      <c r="I18" s="68"/>
      <c r="K18" s="19" t="str">
        <f t="shared" si="1"/>
        <v>INSERT INTO `comm_constant` (`ID`,`CONSTANT_TYPE`,`CONSTANT_TYPE_NAME`,`CONSTANT_NAME`,`CONSTANT_VALUE`,`DEL_FLG`,`CRT_ID`,`CRT_TIME`,`UPD_ID`,`UPD_TIME`,`ACT_ID`,`ACT_TIME`,`VER`) VALUES ('14', 'NoticeType', '通知类型', '系统通知', '1', '0', 'admin', now(), 'admin', now(), 'admin', now(), 1);</v>
      </c>
    </row>
    <row r="19" spans="2:11">
      <c r="B19" s="44">
        <f t="shared" si="0"/>
        <v>15</v>
      </c>
      <c r="C19" s="44" t="s">
        <v>269</v>
      </c>
      <c r="D19" s="44" t="s">
        <v>270</v>
      </c>
      <c r="E19" s="44" t="s">
        <v>271</v>
      </c>
      <c r="F19" s="67">
        <v>1</v>
      </c>
      <c r="G19" s="44">
        <v>0</v>
      </c>
      <c r="H19" s="44" t="s">
        <v>50</v>
      </c>
      <c r="I19" s="45" t="s">
        <v>771</v>
      </c>
      <c r="K19" s="19" t="str">
        <f t="shared" si="1"/>
        <v>INSERT INTO `comm_constant` (`ID`,`CONSTANT_TYPE`,`CONSTANT_TYPE_NAME`,`CONSTANT_NAME`,`CONSTANT_VALUE`,`DEL_FLG`,`CRT_ID`,`CRT_TIME`,`UPD_ID`,`UPD_TIME`,`ACT_ID`,`ACT_TIME`,`VER`) VALUES ('15', 'PaymentMethod', '支付类型', '网银', '1', '0', 'admin', now(), 'admin', now(), 'admin', now(), 1);</v>
      </c>
    </row>
    <row r="20" spans="2:11">
      <c r="B20" s="44">
        <f t="shared" si="0"/>
        <v>16</v>
      </c>
      <c r="C20" s="44" t="s">
        <v>269</v>
      </c>
      <c r="D20" s="44" t="s">
        <v>270</v>
      </c>
      <c r="E20" s="44" t="s">
        <v>272</v>
      </c>
      <c r="F20" s="67">
        <v>2</v>
      </c>
      <c r="G20" s="44">
        <v>0</v>
      </c>
      <c r="H20" s="44" t="s">
        <v>50</v>
      </c>
      <c r="I20" s="45" t="s">
        <v>273</v>
      </c>
      <c r="K20" s="19" t="str">
        <f t="shared" si="1"/>
        <v>INSERT INTO `comm_constant` (`ID`,`CONSTANT_TYPE`,`CONSTANT_TYPE_NAME`,`CONSTANT_NAME`,`CONSTANT_VALUE`,`DEL_FLG`,`CRT_ID`,`CRT_TIME`,`UPD_ID`,`UPD_TIME`,`ACT_ID`,`ACT_TIME`,`VER`) VALUES ('16', 'PaymentMethod', '支付类型', '会员卡', '2', '0', 'admin', now(), 'admin', now(), 'admin', now(), 1);</v>
      </c>
    </row>
    <row r="21" spans="2:11">
      <c r="B21" s="44">
        <f t="shared" si="0"/>
        <v>17</v>
      </c>
      <c r="C21" s="44" t="s">
        <v>269</v>
      </c>
      <c r="D21" s="44" t="s">
        <v>270</v>
      </c>
      <c r="E21" s="44" t="s">
        <v>274</v>
      </c>
      <c r="F21" s="67">
        <v>3</v>
      </c>
      <c r="G21" s="44">
        <v>0</v>
      </c>
      <c r="H21" s="44" t="s">
        <v>50</v>
      </c>
      <c r="I21" s="45" t="s">
        <v>275</v>
      </c>
      <c r="K21" s="19" t="str">
        <f t="shared" si="1"/>
        <v>INSERT INTO `comm_constant` (`ID`,`CONSTANT_TYPE`,`CONSTANT_TYPE_NAME`,`CONSTANT_NAME`,`CONSTANT_VALUE`,`DEL_FLG`,`CRT_ID`,`CRT_TIME`,`UPD_ID`,`UPD_TIME`,`ACT_ID`,`ACT_TIME`,`VER`) VALUES ('17', 'PaymentMethod', '支付类型', 'POS机', '3', '0', 'admin', now(), 'admin', now(), 'admin', now(), 1);</v>
      </c>
    </row>
    <row r="22" spans="2:11">
      <c r="B22" s="44">
        <f t="shared" si="0"/>
        <v>18</v>
      </c>
      <c r="C22" s="44" t="s">
        <v>297</v>
      </c>
      <c r="D22" s="44" t="s">
        <v>298</v>
      </c>
      <c r="E22" s="44" t="s">
        <v>299</v>
      </c>
      <c r="F22" s="67">
        <v>1</v>
      </c>
      <c r="G22" s="44">
        <v>0</v>
      </c>
      <c r="H22" s="44" t="s">
        <v>50</v>
      </c>
      <c r="I22" s="45" t="s">
        <v>300</v>
      </c>
      <c r="K22" s="19" t="str">
        <f t="shared" si="1"/>
        <v>INSERT INTO `comm_constant` (`ID`,`CONSTANT_TYPE`,`CONSTANT_TYPE_NAME`,`CONSTANT_NAME`,`CONSTANT_VALUE`,`DEL_FLG`,`CRT_ID`,`CRT_TIME`,`UPD_ID`,`UPD_TIME`,`ACT_ID`,`ACT_TIME`,`VER`) VALUES ('18', 'SalesTarget', '产品销售对象', '菜场(含KA)', '1', '0', 'admin', now(), 'admin', now(), 'admin', now(), 1);</v>
      </c>
    </row>
    <row r="23" spans="2:11">
      <c r="B23" s="44">
        <f t="shared" si="0"/>
        <v>19</v>
      </c>
      <c r="C23" s="44" t="s">
        <v>297</v>
      </c>
      <c r="D23" s="44" t="s">
        <v>298</v>
      </c>
      <c r="E23" s="44" t="s">
        <v>301</v>
      </c>
      <c r="F23" s="67">
        <v>2</v>
      </c>
      <c r="G23" s="44">
        <v>0</v>
      </c>
      <c r="H23" s="44" t="s">
        <v>50</v>
      </c>
      <c r="I23" s="45" t="s">
        <v>953</v>
      </c>
      <c r="K23" s="19" t="str">
        <f t="shared" si="1"/>
        <v>INSERT INTO `comm_constant` (`ID`,`CONSTANT_TYPE`,`CONSTANT_TYPE_NAME`,`CONSTANT_NAME`,`CONSTANT_VALUE`,`DEL_FLG`,`CRT_ID`,`CRT_TIME`,`UPD_ID`,`UPD_TIME`,`ACT_ID`,`ACT_TIME`,`VER`) VALUES ('19', 'SalesTarget', '产品销售对象', '团膳', '2', '0', 'admin', now(), 'admin', now(), 'admin', now(), 1);</v>
      </c>
    </row>
    <row r="24" spans="2:11">
      <c r="B24" s="44">
        <f t="shared" si="0"/>
        <v>20</v>
      </c>
      <c r="C24" s="44" t="s">
        <v>297</v>
      </c>
      <c r="D24" s="44" t="s">
        <v>298</v>
      </c>
      <c r="E24" s="44" t="s">
        <v>302</v>
      </c>
      <c r="F24" s="67">
        <v>3</v>
      </c>
      <c r="G24" s="44">
        <v>0</v>
      </c>
      <c r="H24" s="44" t="s">
        <v>50</v>
      </c>
      <c r="I24" s="45" t="s">
        <v>285</v>
      </c>
      <c r="K24" s="19" t="str">
        <f t="shared" si="1"/>
        <v>INSERT INTO `comm_constant` (`ID`,`CONSTANT_TYPE`,`CONSTANT_TYPE_NAME`,`CONSTANT_NAME`,`CONSTANT_VALUE`,`DEL_FLG`,`CRT_ID`,`CRT_TIME`,`UPD_ID`,`UPD_TIME`,`ACT_ID`,`ACT_TIME`,`VER`) VALUES ('20', 'SalesTarget', '产品销售对象', '火锅', '3', '0', 'admin', now(), 'admin', now(), 'admin', now(), 1);</v>
      </c>
    </row>
    <row r="25" spans="2:11">
      <c r="B25" s="44">
        <f t="shared" si="0"/>
        <v>21</v>
      </c>
      <c r="C25" s="44" t="s">
        <v>297</v>
      </c>
      <c r="D25" s="44" t="s">
        <v>298</v>
      </c>
      <c r="E25" s="44" t="s">
        <v>303</v>
      </c>
      <c r="F25" s="67">
        <v>4</v>
      </c>
      <c r="G25" s="44">
        <v>0</v>
      </c>
      <c r="H25" s="44" t="s">
        <v>50</v>
      </c>
      <c r="I25" s="45" t="s">
        <v>954</v>
      </c>
      <c r="K25" s="19" t="str">
        <f t="shared" si="1"/>
        <v>INSERT INTO `comm_constant` (`ID`,`CONSTANT_TYPE`,`CONSTANT_TYPE_NAME`,`CONSTANT_NAME`,`CONSTANT_VALUE`,`DEL_FLG`,`CRT_ID`,`CRT_TIME`,`UPD_ID`,`UPD_TIME`,`ACT_ID`,`ACT_TIME`,`VER`) VALUES ('21', 'SalesTarget', '产品销售对象', '中餐', '4', '0', 'admin', now(), 'admin', now(), 'admin', now(), 1);</v>
      </c>
    </row>
    <row r="26" spans="2:11">
      <c r="B26" s="44">
        <f t="shared" si="0"/>
        <v>22</v>
      </c>
      <c r="C26" s="44" t="s">
        <v>297</v>
      </c>
      <c r="D26" s="44" t="s">
        <v>298</v>
      </c>
      <c r="E26" s="44" t="s">
        <v>304</v>
      </c>
      <c r="F26" s="67">
        <v>5</v>
      </c>
      <c r="G26" s="44">
        <v>0</v>
      </c>
      <c r="H26" s="44" t="s">
        <v>50</v>
      </c>
      <c r="I26" s="45" t="s">
        <v>955</v>
      </c>
      <c r="K26" s="19" t="str">
        <f t="shared" si="1"/>
        <v>INSERT INTO `comm_constant` (`ID`,`CONSTANT_TYPE`,`CONSTANT_TYPE_NAME`,`CONSTANT_NAME`,`CONSTANT_VALUE`,`DEL_FLG`,`CRT_ID`,`CRT_TIME`,`UPD_ID`,`UPD_TIME`,`ACT_ID`,`ACT_TIME`,`VER`) VALUES ('22', 'SalesTarget', '产品销售对象', '西餐', '5', '0', 'admin', now(), 'admin', now(), 'admin', now(), 1);</v>
      </c>
    </row>
    <row r="27" spans="2:11">
      <c r="B27" s="44">
        <f t="shared" si="0"/>
        <v>23</v>
      </c>
      <c r="C27" s="44" t="s">
        <v>297</v>
      </c>
      <c r="D27" s="44" t="s">
        <v>298</v>
      </c>
      <c r="E27" s="44" t="s">
        <v>305</v>
      </c>
      <c r="F27" s="67">
        <v>6</v>
      </c>
      <c r="G27" s="44">
        <v>0</v>
      </c>
      <c r="H27" s="44" t="s">
        <v>50</v>
      </c>
      <c r="I27" s="45" t="s">
        <v>956</v>
      </c>
      <c r="K27" s="19" t="str">
        <f t="shared" si="1"/>
        <v>INSERT INTO `comm_constant` (`ID`,`CONSTANT_TYPE`,`CONSTANT_TYPE_NAME`,`CONSTANT_NAME`,`CONSTANT_VALUE`,`DEL_FLG`,`CRT_ID`,`CRT_TIME`,`UPD_ID`,`UPD_TIME`,`ACT_ID`,`ACT_TIME`,`VER`) VALUES ('23', 'SalesTarget', '产品销售对象', '小吃烧烤', '6', '0', 'admin', now(), 'admin', now(), 'admin', now(), 1);</v>
      </c>
    </row>
    <row r="28" spans="2:11">
      <c r="B28" s="44">
        <f t="shared" si="0"/>
        <v>24</v>
      </c>
      <c r="C28" s="44" t="s">
        <v>297</v>
      </c>
      <c r="D28" s="44" t="s">
        <v>298</v>
      </c>
      <c r="E28" s="44" t="s">
        <v>306</v>
      </c>
      <c r="F28" s="67">
        <v>7</v>
      </c>
      <c r="G28" s="44">
        <v>0</v>
      </c>
      <c r="H28" s="44" t="s">
        <v>50</v>
      </c>
      <c r="I28" s="45" t="s">
        <v>957</v>
      </c>
      <c r="K28" s="19" t="str">
        <f t="shared" si="1"/>
        <v>INSERT INTO `comm_constant` (`ID`,`CONSTANT_TYPE`,`CONSTANT_TYPE_NAME`,`CONSTANT_NAME`,`CONSTANT_VALUE`,`DEL_FLG`,`CRT_ID`,`CRT_TIME`,`UPD_ID`,`UPD_TIME`,`ACT_ID`,`ACT_TIME`,`VER`) VALUES ('24', 'SalesTarget', '产品销售对象', '加工厂', '7', '0', 'admin', now(), 'admin', now(), 'admin', now(), 1);</v>
      </c>
    </row>
    <row r="29" spans="2:11">
      <c r="B29" s="44">
        <f t="shared" si="0"/>
        <v>25</v>
      </c>
      <c r="C29" s="44" t="s">
        <v>307</v>
      </c>
      <c r="D29" s="44" t="s">
        <v>308</v>
      </c>
      <c r="E29" s="44" t="s">
        <v>309</v>
      </c>
      <c r="F29" s="67">
        <v>1</v>
      </c>
      <c r="G29" s="44">
        <v>0</v>
      </c>
      <c r="H29" s="44" t="s">
        <v>50</v>
      </c>
      <c r="I29" s="45" t="s">
        <v>310</v>
      </c>
      <c r="K29" s="19" t="str">
        <f t="shared" si="1"/>
        <v>INSERT INTO `comm_constant` (`ID`,`CONSTANT_TYPE`,`CONSTANT_TYPE_NAME`,`CONSTANT_NAME`,`CONSTANT_VALUE`,`DEL_FLG`,`CRT_ID`,`CRT_TIME`,`UPD_ID`,`UPD_TIME`,`ACT_ID`,`ACT_TIME`,`VER`) VALUES ('25', 'LicType', '企业证照类型', '个体工商户营业执照', '1', '0', 'admin', now(), 'admin', now(), 'admin', now(), 1);</v>
      </c>
    </row>
    <row r="30" spans="2:11">
      <c r="B30" s="44">
        <f t="shared" si="0"/>
        <v>26</v>
      </c>
      <c r="C30" s="44" t="s">
        <v>307</v>
      </c>
      <c r="D30" s="44" t="s">
        <v>308</v>
      </c>
      <c r="E30" s="44" t="s">
        <v>311</v>
      </c>
      <c r="F30" s="67">
        <v>2</v>
      </c>
      <c r="G30" s="44">
        <v>0</v>
      </c>
      <c r="H30" s="44" t="s">
        <v>50</v>
      </c>
      <c r="I30" s="45" t="s">
        <v>958</v>
      </c>
      <c r="K30" s="19" t="str">
        <f t="shared" si="1"/>
        <v>INSERT INTO `comm_constant` (`ID`,`CONSTANT_TYPE`,`CONSTANT_TYPE_NAME`,`CONSTANT_NAME`,`CONSTANT_VALUE`,`DEL_FLG`,`CRT_ID`,`CRT_TIME`,`UPD_ID`,`UPD_TIME`,`ACT_ID`,`ACT_TIME`,`VER`) VALUES ('26', 'LicType', '企业证照类型', '个人独资企业营业执照', '2', '0', 'admin', now(), 'admin', now(), 'admin', now(), 1);</v>
      </c>
    </row>
    <row r="31" spans="2:11">
      <c r="B31" s="44">
        <f t="shared" si="0"/>
        <v>27</v>
      </c>
      <c r="C31" s="44" t="s">
        <v>307</v>
      </c>
      <c r="D31" s="44" t="s">
        <v>308</v>
      </c>
      <c r="E31" s="44" t="s">
        <v>312</v>
      </c>
      <c r="F31" s="67">
        <v>3</v>
      </c>
      <c r="G31" s="44">
        <v>0</v>
      </c>
      <c r="H31" s="44" t="s">
        <v>50</v>
      </c>
      <c r="I31" s="45" t="s">
        <v>959</v>
      </c>
      <c r="K31" s="19" t="str">
        <f t="shared" si="1"/>
        <v>INSERT INTO `comm_constant` (`ID`,`CONSTANT_TYPE`,`CONSTANT_TYPE_NAME`,`CONSTANT_NAME`,`CONSTANT_VALUE`,`DEL_FLG`,`CRT_ID`,`CRT_TIME`,`UPD_ID`,`UPD_TIME`,`ACT_ID`,`ACT_TIME`,`VER`) VALUES ('27', 'LicType', '企业证照类型', '合伙企业营业执照', '3', '0', 'admin', now(), 'admin', now(), 'admin', now(), 1);</v>
      </c>
    </row>
    <row r="32" spans="2:11">
      <c r="B32" s="44">
        <f t="shared" si="0"/>
        <v>28</v>
      </c>
      <c r="C32" s="44" t="s">
        <v>307</v>
      </c>
      <c r="D32" s="44" t="s">
        <v>308</v>
      </c>
      <c r="E32" s="44" t="s">
        <v>313</v>
      </c>
      <c r="F32" s="67">
        <v>4</v>
      </c>
      <c r="G32" s="44">
        <v>0</v>
      </c>
      <c r="H32" s="44" t="s">
        <v>50</v>
      </c>
      <c r="I32" s="45" t="s">
        <v>960</v>
      </c>
      <c r="K32" s="19" t="str">
        <f t="shared" si="1"/>
        <v>INSERT INTO `comm_constant` (`ID`,`CONSTANT_TYPE`,`CONSTANT_TYPE_NAME`,`CONSTANT_NAME`,`CONSTANT_VALUE`,`DEL_FLG`,`CRT_ID`,`CRT_TIME`,`UPD_ID`,`UPD_TIME`,`ACT_ID`,`ACT_TIME`,`VER`) VALUES ('28', 'LicType', '企业证照类型', '企业法人营业执照', '4', '0', 'admin', now(), 'admin', now(), 'admin', now(), 1);</v>
      </c>
    </row>
    <row r="33" spans="2:11">
      <c r="B33" s="44">
        <f t="shared" si="0"/>
        <v>29</v>
      </c>
      <c r="C33" s="44" t="s">
        <v>307</v>
      </c>
      <c r="D33" s="44" t="s">
        <v>308</v>
      </c>
      <c r="E33" s="44" t="s">
        <v>314</v>
      </c>
      <c r="F33" s="67">
        <v>5</v>
      </c>
      <c r="G33" s="44">
        <v>0</v>
      </c>
      <c r="H33" s="44" t="s">
        <v>50</v>
      </c>
      <c r="I33" s="45" t="s">
        <v>961</v>
      </c>
      <c r="K33" s="19" t="str">
        <f t="shared" si="1"/>
        <v>INSERT INTO `comm_constant` (`ID`,`CONSTANT_TYPE`,`CONSTANT_TYPE_NAME`,`CONSTANT_NAME`,`CONSTANT_VALUE`,`DEL_FLG`,`CRT_ID`,`CRT_TIME`,`UPD_ID`,`UPD_TIME`,`ACT_ID`,`ACT_TIME`,`VER`) VALUES ('29', 'LicType', '企业证照类型', '农民专业合作社营业执照', '5', '0', 'admin', now(), 'admin', now(), 'admin', now(), 1);</v>
      </c>
    </row>
    <row r="34" spans="2:11">
      <c r="B34" s="44">
        <f t="shared" si="0"/>
        <v>30</v>
      </c>
      <c r="C34" s="44" t="s">
        <v>315</v>
      </c>
      <c r="D34" s="44" t="s">
        <v>316</v>
      </c>
      <c r="E34" s="44" t="s">
        <v>317</v>
      </c>
      <c r="F34" s="67">
        <v>1</v>
      </c>
      <c r="G34" s="44">
        <v>0</v>
      </c>
      <c r="H34" s="44" t="s">
        <v>50</v>
      </c>
      <c r="I34" s="45" t="s">
        <v>318</v>
      </c>
      <c r="K34" s="19" t="str">
        <f t="shared" si="1"/>
        <v>INSERT INTO `comm_constant` (`ID`,`CONSTANT_TYPE`,`CONSTANT_TYPE_NAME`,`CONSTANT_NAME`,`CONSTANT_VALUE`,`DEL_FLG`,`CRT_ID`,`CRT_TIME`,`UPD_ID`,`UPD_TIME`,`ACT_ID`,`ACT_TIME`,`VER`) VALUES ('30', 'LegalLicType', '个人证照类型', '身份证', '1', '0', 'admin', now(), 'admin', now(), 'admin', now(), 1);</v>
      </c>
    </row>
    <row r="35" spans="2:11">
      <c r="B35" s="44">
        <f t="shared" si="0"/>
        <v>31</v>
      </c>
      <c r="C35" s="44" t="s">
        <v>315</v>
      </c>
      <c r="D35" s="44" t="s">
        <v>316</v>
      </c>
      <c r="E35" s="44" t="s">
        <v>319</v>
      </c>
      <c r="F35" s="67">
        <v>2</v>
      </c>
      <c r="G35" s="44">
        <v>0</v>
      </c>
      <c r="H35" s="44" t="s">
        <v>50</v>
      </c>
      <c r="I35" s="45" t="s">
        <v>320</v>
      </c>
      <c r="K35" s="19" t="str">
        <f t="shared" si="1"/>
        <v>INSERT INTO `comm_constant` (`ID`,`CONSTANT_TYPE`,`CONSTANT_TYPE_NAME`,`CONSTANT_NAME`,`CONSTANT_VALUE`,`DEL_FLG`,`CRT_ID`,`CRT_TIME`,`UPD_ID`,`UPD_TIME`,`ACT_ID`,`ACT_TIME`,`VER`) VALUES ('31', 'LegalLicType', '个人证照类型', '护照', '2', '0', 'admin', now(), 'admin', now(), 'admin', now(), 1);</v>
      </c>
    </row>
    <row r="36" spans="2:11">
      <c r="B36" s="44">
        <f t="shared" si="0"/>
        <v>32</v>
      </c>
      <c r="C36" s="44" t="s">
        <v>315</v>
      </c>
      <c r="D36" s="44" t="s">
        <v>316</v>
      </c>
      <c r="E36" s="44" t="s">
        <v>52</v>
      </c>
      <c r="F36" s="67">
        <v>3</v>
      </c>
      <c r="G36" s="44">
        <v>0</v>
      </c>
      <c r="H36" s="44" t="s">
        <v>50</v>
      </c>
      <c r="I36" s="45" t="s">
        <v>321</v>
      </c>
      <c r="K36" s="19" t="str">
        <f t="shared" si="1"/>
        <v>INSERT INTO `comm_constant` (`ID`,`CONSTANT_TYPE`,`CONSTANT_TYPE_NAME`,`CONSTANT_NAME`,`CONSTANT_VALUE`,`DEL_FLG`,`CRT_ID`,`CRT_TIME`,`UPD_ID`,`UPD_TIME`,`ACT_ID`,`ACT_TIME`,`VER`) VALUES ('32', 'LegalLicType', '个人证照类型', '其他', '3', '0', 'admin', now(), 'admin', now(), 'admin', now(), 1);</v>
      </c>
    </row>
    <row r="37" spans="2:11">
      <c r="B37" s="44">
        <f t="shared" si="0"/>
        <v>33</v>
      </c>
      <c r="C37" s="44" t="s">
        <v>322</v>
      </c>
      <c r="D37" s="44" t="s">
        <v>323</v>
      </c>
      <c r="E37" s="44" t="s">
        <v>324</v>
      </c>
      <c r="F37" s="67">
        <v>1</v>
      </c>
      <c r="G37" s="44">
        <v>0</v>
      </c>
      <c r="H37" s="44" t="s">
        <v>50</v>
      </c>
      <c r="I37" s="45" t="s">
        <v>325</v>
      </c>
      <c r="K37" s="19" t="str">
        <f t="shared" si="1"/>
        <v>INSERT INTO `comm_constant` (`ID`,`CONSTANT_TYPE`,`CONSTANT_TYPE_NAME`,`CONSTANT_NAME`,`CONSTANT_VALUE`,`DEL_FLG`,`CRT_ID`,`CRT_TIME`,`UPD_ID`,`UPD_TIME`,`ACT_ID`,`ACT_TIME`,`VER`) VALUES ('33', 'EmployeeType', '雇员类型', '老板', '1', '0', 'admin', now(), 'admin', now(), 'admin', now(), 1);</v>
      </c>
    </row>
    <row r="38" spans="2:11">
      <c r="B38" s="44">
        <f t="shared" si="0"/>
        <v>34</v>
      </c>
      <c r="C38" s="44" t="s">
        <v>322</v>
      </c>
      <c r="D38" s="44" t="s">
        <v>323</v>
      </c>
      <c r="E38" s="44" t="s">
        <v>326</v>
      </c>
      <c r="F38" s="67">
        <v>2</v>
      </c>
      <c r="G38" s="44">
        <v>0</v>
      </c>
      <c r="H38" s="44" t="s">
        <v>50</v>
      </c>
      <c r="I38" s="45" t="s">
        <v>327</v>
      </c>
      <c r="K38" s="19" t="str">
        <f t="shared" si="1"/>
        <v>INSERT INTO `comm_constant` (`ID`,`CONSTANT_TYPE`,`CONSTANT_TYPE_NAME`,`CONSTANT_NAME`,`CONSTANT_VALUE`,`DEL_FLG`,`CRT_ID`,`CRT_TIME`,`UPD_ID`,`UPD_TIME`,`ACT_ID`,`ACT_TIME`,`VER`) VALUES ('34', 'EmployeeType', '雇员类型', '经理/店长', '2', '0', 'admin', now(), 'admin', now(), 'admin', now(), 1);</v>
      </c>
    </row>
    <row r="39" spans="2:11">
      <c r="B39" s="44">
        <f t="shared" si="0"/>
        <v>35</v>
      </c>
      <c r="C39" s="44" t="s">
        <v>322</v>
      </c>
      <c r="D39" s="44" t="s">
        <v>323</v>
      </c>
      <c r="E39" s="44" t="s">
        <v>328</v>
      </c>
      <c r="F39" s="67">
        <v>3</v>
      </c>
      <c r="G39" s="44">
        <v>0</v>
      </c>
      <c r="H39" s="44" t="s">
        <v>50</v>
      </c>
      <c r="I39" s="45" t="s">
        <v>329</v>
      </c>
      <c r="K39" s="19" t="str">
        <f t="shared" si="1"/>
        <v>INSERT INTO `comm_constant` (`ID`,`CONSTANT_TYPE`,`CONSTANT_TYPE_NAME`,`CONSTANT_NAME`,`CONSTANT_VALUE`,`DEL_FLG`,`CRT_ID`,`CRT_TIME`,`UPD_ID`,`UPD_TIME`,`ACT_ID`,`ACT_TIME`,`VER`) VALUES ('35', 'EmployeeType', '雇员类型', '员工', '3', '0', 'admin', now(), 'admin', now(), 'admin', now(), 1);</v>
      </c>
    </row>
    <row r="40" spans="2:11">
      <c r="B40" s="44">
        <f t="shared" si="0"/>
        <v>36</v>
      </c>
      <c r="C40" s="44" t="s">
        <v>330</v>
      </c>
      <c r="D40" s="44" t="s">
        <v>331</v>
      </c>
      <c r="E40" s="44" t="s">
        <v>332</v>
      </c>
      <c r="F40" s="67">
        <v>0</v>
      </c>
      <c r="G40" s="44">
        <v>0</v>
      </c>
      <c r="H40" s="44" t="s">
        <v>50</v>
      </c>
      <c r="I40" s="45" t="s">
        <v>333</v>
      </c>
      <c r="K40" s="19" t="str">
        <f t="shared" si="1"/>
        <v>INSERT INTO `comm_constant` (`ID`,`CONSTANT_TYPE`,`CONSTANT_TYPE_NAME`,`CONSTANT_NAME`,`CONSTANT_VALUE`,`DEL_FLG`,`CRT_ID`,`CRT_TIME`,`UPD_ID`,`UPD_TIME`,`ACT_ID`,`ACT_TIME`,`VER`) VALUES ('36', 'BuyerRegisterWay', '买家注册途径', '后台系统', '0', '0', 'admin', now(), 'admin', now(), 'admin', now(), 1);</v>
      </c>
    </row>
    <row r="41" spans="2:11">
      <c r="B41" s="44">
        <f t="shared" si="0"/>
        <v>37</v>
      </c>
      <c r="C41" s="44" t="s">
        <v>330</v>
      </c>
      <c r="D41" s="44" t="s">
        <v>331</v>
      </c>
      <c r="E41" s="44" t="s">
        <v>334</v>
      </c>
      <c r="F41" s="67">
        <v>1</v>
      </c>
      <c r="G41" s="44">
        <v>0</v>
      </c>
      <c r="H41" s="44" t="s">
        <v>50</v>
      </c>
      <c r="I41" s="45" t="s">
        <v>335</v>
      </c>
      <c r="K41" s="19" t="str">
        <f t="shared" si="1"/>
        <v>INSERT INTO `comm_constant` (`ID`,`CONSTANT_TYPE`,`CONSTANT_TYPE_NAME`,`CONSTANT_NAME`,`CONSTANT_VALUE`,`DEL_FLG`,`CRT_ID`,`CRT_TIME`,`UPD_ID`,`UPD_TIME`,`ACT_ID`,`ACT_TIME`,`VER`) VALUES ('37', 'BuyerRegisterWay', '买家注册途径', '通路注册', '1', '0', 'admin', now(), 'admin', now(), 'admin', now(), 1);</v>
      </c>
    </row>
    <row r="42" spans="2:11">
      <c r="B42" s="44">
        <f t="shared" si="0"/>
        <v>38</v>
      </c>
      <c r="C42" s="44" t="s">
        <v>330</v>
      </c>
      <c r="D42" s="44" t="s">
        <v>331</v>
      </c>
      <c r="E42" s="44" t="s">
        <v>44</v>
      </c>
      <c r="F42" s="67">
        <v>2</v>
      </c>
      <c r="G42" s="44">
        <v>0</v>
      </c>
      <c r="H42" s="44" t="s">
        <v>50</v>
      </c>
      <c r="I42" s="45" t="s">
        <v>336</v>
      </c>
      <c r="K42" s="19" t="str">
        <f t="shared" si="1"/>
        <v>INSERT INTO `comm_constant` (`ID`,`CONSTANT_TYPE`,`CONSTANT_TYPE_NAME`,`CONSTANT_NAME`,`CONSTANT_VALUE`,`DEL_FLG`,`CRT_ID`,`CRT_TIME`,`UPD_ID`,`UPD_TIME`,`ACT_ID`,`ACT_TIME`,`VER`) VALUES ('38', 'BuyerRegisterWay', '买家注册途径', '云冻品平台', '2', '0', 'admin', now(), 'admin', now(), 'admin', now(), 1);</v>
      </c>
    </row>
    <row r="43" spans="2:11">
      <c r="B43" s="44">
        <f t="shared" si="0"/>
        <v>39</v>
      </c>
      <c r="C43" s="44" t="s">
        <v>330</v>
      </c>
      <c r="D43" s="44" t="s">
        <v>331</v>
      </c>
      <c r="E43" s="44" t="s">
        <v>45</v>
      </c>
      <c r="F43" s="67">
        <v>3</v>
      </c>
      <c r="G43" s="44">
        <v>0</v>
      </c>
      <c r="H43" s="44" t="s">
        <v>962</v>
      </c>
      <c r="I43" s="45" t="s">
        <v>337</v>
      </c>
      <c r="K43" s="19" t="str">
        <f t="shared" si="1"/>
        <v>INSERT INTO `comm_constant` (`ID`,`CONSTANT_TYPE`,`CONSTANT_TYPE_NAME`,`CONSTANT_NAME`,`CONSTANT_VALUE`,`DEL_FLG`,`CRT_ID`,`CRT_TIME`,`UPD_ID`,`UPD_TIME`,`ACT_ID`,`ACT_TIME`,`VER`) VALUES ('39', 'BuyerRegisterWay', '买家注册途径', '云冻品B2B平台', '3', '0', 'admin', now(), 'admin', now(), 'admin', now(), 1);</v>
      </c>
    </row>
    <row r="44" spans="2:11">
      <c r="B44" s="44">
        <f t="shared" si="0"/>
        <v>40</v>
      </c>
      <c r="C44" s="44" t="s">
        <v>963</v>
      </c>
      <c r="D44" s="44" t="s">
        <v>331</v>
      </c>
      <c r="E44" s="44" t="s">
        <v>1216</v>
      </c>
      <c r="F44" s="67">
        <v>4</v>
      </c>
      <c r="G44" s="44">
        <v>0</v>
      </c>
      <c r="H44" s="44" t="s">
        <v>962</v>
      </c>
      <c r="I44" s="45" t="s">
        <v>1217</v>
      </c>
      <c r="K44" s="19" t="str">
        <f t="shared" si="1"/>
        <v>INSERT INTO `comm_constant` (`ID`,`CONSTANT_TYPE`,`CONSTANT_TYPE_NAME`,`CONSTANT_NAME`,`CONSTANT_VALUE`,`DEL_FLG`,`CRT_ID`,`CRT_TIME`,`UPD_ID`,`UPD_TIME`,`ACT_ID`,`ACT_TIME`,`VER`) VALUES ('40', 'BuyerRegisterWay', '买家注册途径', '买家APP', '4', '0', 'admin', now(), 'admin', now(), 'admin', now(), 1);</v>
      </c>
    </row>
    <row r="45" spans="2:11">
      <c r="B45" s="44">
        <f t="shared" si="0"/>
        <v>41</v>
      </c>
      <c r="C45" s="44" t="s">
        <v>358</v>
      </c>
      <c r="D45" s="44" t="s">
        <v>359</v>
      </c>
      <c r="E45" s="44" t="s">
        <v>360</v>
      </c>
      <c r="F45" s="67">
        <v>0</v>
      </c>
      <c r="G45" s="44">
        <v>0</v>
      </c>
      <c r="H45" s="44" t="s">
        <v>50</v>
      </c>
      <c r="I45" s="45" t="s">
        <v>964</v>
      </c>
      <c r="K45" s="19" t="str">
        <f t="shared" si="1"/>
        <v>INSERT INTO `comm_constant` (`ID`,`CONSTANT_TYPE`,`CONSTANT_TYPE_NAME`,`CONSTANT_NAME`,`CONSTANT_VALUE`,`DEL_FLG`,`CRT_ID`,`CRT_TIME`,`UPD_ID`,`UPD_TIME`,`ACT_ID`,`ACT_TIME`,`VER`) VALUES ('41', 'ResearchStatus', '调研状态', '未调研', '0', '0', 'admin', now(), 'admin', now(), 'admin', now(), 1);</v>
      </c>
    </row>
    <row r="46" spans="2:11">
      <c r="B46" s="44">
        <f t="shared" si="0"/>
        <v>42</v>
      </c>
      <c r="C46" s="44" t="s">
        <v>358</v>
      </c>
      <c r="D46" s="44" t="s">
        <v>359</v>
      </c>
      <c r="E46" s="44" t="s">
        <v>965</v>
      </c>
      <c r="F46" s="67">
        <v>1</v>
      </c>
      <c r="G46" s="44">
        <v>0</v>
      </c>
      <c r="H46" s="44" t="s">
        <v>50</v>
      </c>
      <c r="I46" s="45" t="s">
        <v>966</v>
      </c>
      <c r="K46" s="19" t="str">
        <f t="shared" si="1"/>
        <v>INSERT INTO `comm_constant` (`ID`,`CONSTANT_TYPE`,`CONSTANT_TYPE_NAME`,`CONSTANT_NAME`,`CONSTANT_VALUE`,`DEL_FLG`,`CRT_ID`,`CRT_TIME`,`UPD_ID`,`UPD_TIME`,`ACT_ID`,`ACT_TIME`,`VER`) VALUES ('42', 'ResearchStatus', '调研状态', '已调研', '1', '0', 'admin', now(), 'admin', now(), 'admin', now(), 1);</v>
      </c>
    </row>
    <row r="47" spans="2:11">
      <c r="B47" s="44">
        <f t="shared" si="0"/>
        <v>43</v>
      </c>
      <c r="C47" s="44" t="s">
        <v>358</v>
      </c>
      <c r="D47" s="44" t="s">
        <v>359</v>
      </c>
      <c r="E47" s="44" t="s">
        <v>967</v>
      </c>
      <c r="F47" s="67">
        <v>2</v>
      </c>
      <c r="G47" s="44">
        <v>0</v>
      </c>
      <c r="H47" s="44" t="s">
        <v>50</v>
      </c>
      <c r="I47" s="45" t="s">
        <v>968</v>
      </c>
      <c r="K47" s="19" t="str">
        <f t="shared" si="1"/>
        <v>INSERT INTO `comm_constant` (`ID`,`CONSTANT_TYPE`,`CONSTANT_TYPE_NAME`,`CONSTANT_NAME`,`CONSTANT_VALUE`,`DEL_FLG`,`CRT_ID`,`CRT_TIME`,`UPD_ID`,`UPD_TIME`,`ACT_ID`,`ACT_TIME`,`VER`) VALUES ('43', 'ResearchStatus', '调研状态', '调研中', '2', '0', 'admin', now(), 'admin', now(), 'admin', now(), 1);</v>
      </c>
    </row>
    <row r="48" spans="2:11">
      <c r="B48" s="44">
        <f t="shared" si="0"/>
        <v>44</v>
      </c>
      <c r="C48" s="44" t="s">
        <v>358</v>
      </c>
      <c r="D48" s="44" t="s">
        <v>359</v>
      </c>
      <c r="E48" s="44" t="s">
        <v>969</v>
      </c>
      <c r="F48" s="67">
        <v>3</v>
      </c>
      <c r="G48" s="44">
        <v>0</v>
      </c>
      <c r="H48" s="44" t="s">
        <v>50</v>
      </c>
      <c r="I48" s="45" t="s">
        <v>1218</v>
      </c>
      <c r="K48" s="19" t="str">
        <f t="shared" si="1"/>
        <v>INSERT INTO `comm_constant` (`ID`,`CONSTANT_TYPE`,`CONSTANT_TYPE_NAME`,`CONSTANT_NAME`,`CONSTANT_VALUE`,`DEL_FLG`,`CRT_ID`,`CRT_TIME`,`UPD_ID`,`UPD_TIME`,`ACT_ID`,`ACT_TIME`,`VER`) VALUES ('44', 'ResearchStatus', '调研状态', '不调研', '3', '0', 'admin', now(), 'admin', now(), 'admin', now(), 1);</v>
      </c>
    </row>
    <row r="49" spans="2:11">
      <c r="B49" s="44">
        <f t="shared" si="0"/>
        <v>45</v>
      </c>
      <c r="C49" s="44" t="s">
        <v>361</v>
      </c>
      <c r="D49" s="44" t="s">
        <v>362</v>
      </c>
      <c r="E49" s="44" t="s">
        <v>363</v>
      </c>
      <c r="F49" s="67">
        <v>1</v>
      </c>
      <c r="G49" s="44">
        <v>0</v>
      </c>
      <c r="H49" s="44" t="s">
        <v>50</v>
      </c>
      <c r="I49" s="45" t="s">
        <v>364</v>
      </c>
      <c r="K49" s="19" t="str">
        <f t="shared" si="1"/>
        <v>INSERT INTO `comm_constant` (`ID`,`CONSTANT_TYPE`,`CONSTANT_TYPE_NAME`,`CONSTANT_NAME`,`CONSTANT_VALUE`,`DEL_FLG`,`CRT_ID`,`CRT_TIME`,`UPD_ID`,`UPD_TIME`,`ACT_ID`,`ACT_TIME`,`VER`) VALUES ('45', 'ResearchType', '调研类型', '产品品类需求调研', '1', '0', 'admin', now(), 'admin', now(), 'admin', now(), 1);</v>
      </c>
    </row>
    <row r="50" spans="2:11">
      <c r="B50" s="44">
        <f t="shared" si="0"/>
        <v>46</v>
      </c>
      <c r="C50" s="44" t="s">
        <v>361</v>
      </c>
      <c r="D50" s="44" t="s">
        <v>362</v>
      </c>
      <c r="E50" s="44" t="s">
        <v>365</v>
      </c>
      <c r="F50" s="67">
        <v>2</v>
      </c>
      <c r="G50" s="44">
        <v>0</v>
      </c>
      <c r="H50" s="44" t="s">
        <v>50</v>
      </c>
      <c r="I50" s="45" t="s">
        <v>366</v>
      </c>
      <c r="K50" s="19" t="str">
        <f t="shared" si="1"/>
        <v>INSERT INTO `comm_constant` (`ID`,`CONSTANT_TYPE`,`CONSTANT_TYPE_NAME`,`CONSTANT_NAME`,`CONSTANT_VALUE`,`DEL_FLG`,`CRT_ID`,`CRT_TIME`,`UPD_ID`,`UPD_TIME`,`ACT_ID`,`ACT_TIME`,`VER`) VALUES ('46', 'ResearchType', '调研类型', '原种种源标准调研', '2', '0', 'admin', now(), 'admin', now(), 'admin', now(), 1);</v>
      </c>
    </row>
    <row r="51" spans="2:11">
      <c r="B51" s="44">
        <f t="shared" si="0"/>
        <v>47</v>
      </c>
      <c r="C51" s="44" t="s">
        <v>361</v>
      </c>
      <c r="D51" s="44" t="s">
        <v>362</v>
      </c>
      <c r="E51" s="44" t="s">
        <v>367</v>
      </c>
      <c r="F51" s="67">
        <v>3</v>
      </c>
      <c r="G51" s="44">
        <v>0</v>
      </c>
      <c r="H51" s="44" t="s">
        <v>50</v>
      </c>
      <c r="I51" s="45" t="s">
        <v>368</v>
      </c>
      <c r="K51" s="19" t="str">
        <f t="shared" si="1"/>
        <v>INSERT INTO `comm_constant` (`ID`,`CONSTANT_TYPE`,`CONSTANT_TYPE_NAME`,`CONSTANT_NAME`,`CONSTANT_VALUE`,`DEL_FLG`,`CRT_ID`,`CRT_TIME`,`UPD_ID`,`UPD_TIME`,`ACT_ID`,`ACT_TIME`,`VER`) VALUES ('47', 'ResearchType', '调研类型', '加工技术标准调研', '3', '0', 'admin', now(), 'admin', now(), 'admin', now(), 1);</v>
      </c>
    </row>
    <row r="52" spans="2:11">
      <c r="B52" s="44">
        <f t="shared" si="0"/>
        <v>48</v>
      </c>
      <c r="C52" s="44" t="s">
        <v>361</v>
      </c>
      <c r="D52" s="44" t="s">
        <v>362</v>
      </c>
      <c r="E52" s="44" t="s">
        <v>369</v>
      </c>
      <c r="F52" s="67">
        <v>4</v>
      </c>
      <c r="G52" s="44">
        <v>0</v>
      </c>
      <c r="H52" s="44" t="s">
        <v>50</v>
      </c>
      <c r="I52" s="45" t="s">
        <v>370</v>
      </c>
      <c r="K52" s="19" t="str">
        <f t="shared" si="1"/>
        <v>INSERT INTO `comm_constant` (`ID`,`CONSTANT_TYPE`,`CONSTANT_TYPE_NAME`,`CONSTANT_NAME`,`CONSTANT_VALUE`,`DEL_FLG`,`CRT_ID`,`CRT_TIME`,`UPD_ID`,`UPD_TIME`,`ACT_ID`,`ACT_TIME`,`VER`) VALUES ('48', 'ResearchType', '调研类型', '加工质量标准调研', '4', '0', 'admin', now(), 'admin', now(), 'admin', now(), 1);</v>
      </c>
    </row>
    <row r="53" spans="2:11">
      <c r="B53" s="44">
        <f t="shared" si="0"/>
        <v>49</v>
      </c>
      <c r="C53" s="44" t="s">
        <v>361</v>
      </c>
      <c r="D53" s="44" t="s">
        <v>362</v>
      </c>
      <c r="E53" s="44" t="s">
        <v>371</v>
      </c>
      <c r="F53" s="67">
        <v>5</v>
      </c>
      <c r="G53" s="44">
        <v>0</v>
      </c>
      <c r="H53" s="44" t="s">
        <v>50</v>
      </c>
      <c r="I53" s="45" t="s">
        <v>372</v>
      </c>
      <c r="K53" s="19" t="str">
        <f t="shared" si="1"/>
        <v>INSERT INTO `comm_constant` (`ID`,`CONSTANT_TYPE`,`CONSTANT_TYPE_NAME`,`CONSTANT_NAME`,`CONSTANT_VALUE`,`DEL_FLG`,`CRT_ID`,`CRT_TIME`,`UPD_ID`,`UPD_TIME`,`ACT_ID`,`ACT_TIME`,`VER`) VALUES ('49', 'ResearchType', '调研类型', '产品饲养标准调研', '5', '0', 'admin', now(), 'admin', now(), 'admin', now(), 1);</v>
      </c>
    </row>
    <row r="54" spans="2:11">
      <c r="B54" s="44">
        <f t="shared" si="0"/>
        <v>50</v>
      </c>
      <c r="C54" s="44" t="s">
        <v>361</v>
      </c>
      <c r="D54" s="44" t="s">
        <v>362</v>
      </c>
      <c r="E54" s="44" t="s">
        <v>373</v>
      </c>
      <c r="F54" s="67">
        <v>6</v>
      </c>
      <c r="G54" s="44">
        <v>0</v>
      </c>
      <c r="H54" s="44" t="s">
        <v>50</v>
      </c>
      <c r="I54" s="45" t="s">
        <v>54</v>
      </c>
      <c r="K54" s="19" t="str">
        <f t="shared" si="1"/>
        <v>INSERT INTO `comm_constant` (`ID`,`CONSTANT_TYPE`,`CONSTANT_TYPE_NAME`,`CONSTANT_NAME`,`CONSTANT_VALUE`,`DEL_FLG`,`CRT_ID`,`CRT_TIME`,`UPD_ID`,`UPD_TIME`,`ACT_ID`,`ACT_TIME`,`VER`) VALUES ('50', 'ResearchType', '调研类型', '通用质量标准调研', '6', '0', 'admin', now(), 'admin', now(), 'admin', now(), 1);</v>
      </c>
    </row>
    <row r="55" spans="2:11">
      <c r="B55" s="44">
        <f t="shared" si="0"/>
        <v>51</v>
      </c>
      <c r="C55" s="44" t="s">
        <v>361</v>
      </c>
      <c r="D55" s="44" t="s">
        <v>362</v>
      </c>
      <c r="E55" s="44" t="s">
        <v>374</v>
      </c>
      <c r="F55" s="67">
        <v>7</v>
      </c>
      <c r="G55" s="44">
        <v>0</v>
      </c>
      <c r="H55" s="44" t="s">
        <v>50</v>
      </c>
      <c r="I55" s="45" t="s">
        <v>375</v>
      </c>
      <c r="K55" s="19" t="str">
        <f t="shared" si="1"/>
        <v>INSERT INTO `comm_constant` (`ID`,`CONSTANT_TYPE`,`CONSTANT_TYPE_NAME`,`CONSTANT_NAME`,`CONSTANT_VALUE`,`DEL_FLG`,`CRT_ID`,`CRT_TIME`,`UPD_ID`,`UPD_TIME`,`ACT_ID`,`ACT_TIME`,`VER`) VALUES ('51', 'ResearchType', '调研类型', '品种安全标准调研', '7', '0', 'admin', now(), 'admin', now(), 'admin', now(), 1);</v>
      </c>
    </row>
    <row r="56" spans="2:11">
      <c r="B56" s="44">
        <f t="shared" si="0"/>
        <v>52</v>
      </c>
      <c r="C56" s="44" t="s">
        <v>361</v>
      </c>
      <c r="D56" s="44" t="s">
        <v>362</v>
      </c>
      <c r="E56" s="44" t="s">
        <v>376</v>
      </c>
      <c r="F56" s="67">
        <v>8</v>
      </c>
      <c r="G56" s="44">
        <v>0</v>
      </c>
      <c r="H56" s="44" t="s">
        <v>50</v>
      </c>
      <c r="I56" s="45" t="s">
        <v>377</v>
      </c>
      <c r="K56" s="19" t="str">
        <f t="shared" si="1"/>
        <v>INSERT INTO `comm_constant` (`ID`,`CONSTANT_TYPE`,`CONSTANT_TYPE_NAME`,`CONSTANT_NAME`,`CONSTANT_VALUE`,`DEL_FLG`,`CRT_ID`,`CRT_TIME`,`UPD_ID`,`UPD_TIME`,`ACT_ID`,`ACT_TIME`,`VER`) VALUES ('52', 'ResearchType', '调研类型', '运输储存标准调研', '8', '0', 'admin', now(), 'admin', now(), 'admin', now(), 1);</v>
      </c>
    </row>
    <row r="57" spans="2:11">
      <c r="B57" s="44">
        <f t="shared" si="0"/>
        <v>53</v>
      </c>
      <c r="C57" s="44" t="s">
        <v>361</v>
      </c>
      <c r="D57" s="44" t="s">
        <v>362</v>
      </c>
      <c r="E57" s="44" t="s">
        <v>378</v>
      </c>
      <c r="F57" s="67">
        <v>9</v>
      </c>
      <c r="G57" s="44">
        <v>0</v>
      </c>
      <c r="H57" s="44" t="s">
        <v>50</v>
      </c>
      <c r="I57" s="45" t="s">
        <v>379</v>
      </c>
      <c r="K57" s="19" t="str">
        <f t="shared" si="1"/>
        <v>INSERT INTO `comm_constant` (`ID`,`CONSTANT_TYPE`,`CONSTANT_TYPE_NAME`,`CONSTANT_NAME`,`CONSTANT_VALUE`,`DEL_FLG`,`CRT_ID`,`CRT_TIME`,`UPD_ID`,`UPD_TIME`,`ACT_ID`,`ACT_TIME`,`VER`) VALUES ('53', 'ResearchType', '调研类型', '产品包装标准调研', '9', '0', 'admin', now(), 'admin', now(), 'admin', now(), 1);</v>
      </c>
    </row>
    <row r="58" spans="2:11">
      <c r="B58" s="44">
        <f t="shared" si="0"/>
        <v>54</v>
      </c>
      <c r="C58" s="44" t="s">
        <v>380</v>
      </c>
      <c r="D58" s="62" t="s">
        <v>381</v>
      </c>
      <c r="E58" s="62" t="s">
        <v>334</v>
      </c>
      <c r="F58" s="72">
        <v>123456</v>
      </c>
      <c r="G58" s="44">
        <v>0</v>
      </c>
      <c r="H58" s="44" t="s">
        <v>50</v>
      </c>
      <c r="I58" s="45" t="s">
        <v>335</v>
      </c>
      <c r="K58" s="19" t="str">
        <f t="shared" si="1"/>
        <v>INSERT INTO `comm_constant` (`ID`,`CONSTANT_TYPE`,`CONSTANT_TYPE_NAME`,`CONSTANT_NAME`,`CONSTANT_VALUE`,`DEL_FLG`,`CRT_ID`,`CRT_TIME`,`UPD_ID`,`UPD_TIME`,`ACT_ID`,`ACT_TIME`,`VER`) VALUES ('54', 'ByInterfaceToken', '买家对接接口令牌', '通路注册', '123456', '0', 'admin', now(), 'admin', now(), 'admin', now(), 1);</v>
      </c>
    </row>
    <row r="59" spans="2:11">
      <c r="B59" s="44">
        <f t="shared" si="0"/>
        <v>55</v>
      </c>
      <c r="C59" s="44" t="s">
        <v>338</v>
      </c>
      <c r="D59" s="44" t="s">
        <v>339</v>
      </c>
      <c r="E59" s="44" t="s">
        <v>340</v>
      </c>
      <c r="F59" s="67">
        <v>1</v>
      </c>
      <c r="G59" s="44">
        <v>0</v>
      </c>
      <c r="H59" s="44" t="s">
        <v>50</v>
      </c>
      <c r="I59" s="45" t="s">
        <v>970</v>
      </c>
      <c r="K59" s="19" t="str">
        <f t="shared" si="1"/>
        <v>INSERT INTO `comm_constant` (`ID`,`CONSTANT_TYPE`,`CONSTANT_TYPE_NAME`,`CONSTANT_NAME`,`CONSTANT_VALUE`,`DEL_FLG`,`CRT_ID`,`CRT_TIME`,`UPD_ID`,`UPD_TIME`,`ACT_ID`,`ACT_TIME`,`VER`) VALUES ('55', 'MarketType', '菜场类型', '菜场', '1', '0', 'admin', now(), 'admin', now(), 'admin', now(), 1);</v>
      </c>
    </row>
    <row r="60" spans="2:11">
      <c r="B60" s="44">
        <f t="shared" si="0"/>
        <v>56</v>
      </c>
      <c r="C60" s="44" t="s">
        <v>338</v>
      </c>
      <c r="D60" s="44" t="s">
        <v>339</v>
      </c>
      <c r="E60" s="44" t="s">
        <v>341</v>
      </c>
      <c r="F60" s="67">
        <v>2</v>
      </c>
      <c r="G60" s="44">
        <v>0</v>
      </c>
      <c r="H60" s="44" t="s">
        <v>50</v>
      </c>
      <c r="I60" s="45" t="s">
        <v>971</v>
      </c>
      <c r="K60" s="19" t="str">
        <f t="shared" si="1"/>
        <v>INSERT INTO `comm_constant` (`ID`,`CONSTANT_TYPE`,`CONSTANT_TYPE_NAME`,`CONSTANT_NAME`,`CONSTANT_VALUE`,`DEL_FLG`,`CRT_ID`,`CRT_TIME`,`UPD_ID`,`UPD_TIME`,`ACT_ID`,`ACT_TIME`,`VER`) VALUES ('56', 'MarketType', '菜场类型', '农贸市场', '2', '0', 'admin', now(), 'admin', now(), 'admin', now(), 1);</v>
      </c>
    </row>
    <row r="61" spans="2:11">
      <c r="B61" s="44">
        <f t="shared" si="0"/>
        <v>57</v>
      </c>
      <c r="C61" s="44" t="s">
        <v>342</v>
      </c>
      <c r="D61" s="44" t="s">
        <v>343</v>
      </c>
      <c r="E61" s="44" t="s">
        <v>53</v>
      </c>
      <c r="F61" s="67">
        <v>1</v>
      </c>
      <c r="G61" s="44">
        <v>0</v>
      </c>
      <c r="H61" s="44" t="s">
        <v>50</v>
      </c>
      <c r="I61" s="45" t="s">
        <v>972</v>
      </c>
      <c r="K61" s="19" t="str">
        <f t="shared" si="1"/>
        <v>INSERT INTO `comm_constant` (`ID`,`CONSTANT_TYPE`,`CONSTANT_TYPE_NAME`,`CONSTANT_NAME`,`CONSTANT_VALUE`,`DEL_FLG`,`CRT_ID`,`CRT_TIME`,`UPD_ID`,`UPD_TIME`,`ACT_ID`,`ACT_TIME`,`VER`) VALUES ('57', 'MarketSectionType', '菜场地段类型', '城区', '1', '0', 'admin', now(), 'admin', now(), 'admin', now(), 1);</v>
      </c>
    </row>
    <row r="62" spans="2:11">
      <c r="B62" s="44">
        <f t="shared" si="0"/>
        <v>58</v>
      </c>
      <c r="C62" s="44" t="s">
        <v>342</v>
      </c>
      <c r="D62" s="44" t="s">
        <v>343</v>
      </c>
      <c r="E62" s="44" t="s">
        <v>344</v>
      </c>
      <c r="F62" s="67">
        <v>2</v>
      </c>
      <c r="G62" s="44">
        <v>0</v>
      </c>
      <c r="H62" s="44" t="s">
        <v>50</v>
      </c>
      <c r="I62" s="45" t="s">
        <v>973</v>
      </c>
      <c r="K62" s="19" t="str">
        <f t="shared" si="1"/>
        <v>INSERT INTO `comm_constant` (`ID`,`CONSTANT_TYPE`,`CONSTANT_TYPE_NAME`,`CONSTANT_NAME`,`CONSTANT_VALUE`,`DEL_FLG`,`CRT_ID`,`CRT_TIME`,`UPD_ID`,`UPD_TIME`,`ACT_ID`,`ACT_TIME`,`VER`) VALUES ('58', 'MarketSectionType', '菜场地段类型', '近郊', '2', '0', 'admin', now(), 'admin', now(), 'admin', now(), 1);</v>
      </c>
    </row>
    <row r="63" spans="2:11">
      <c r="B63" s="44">
        <f t="shared" si="0"/>
        <v>59</v>
      </c>
      <c r="C63" s="44" t="s">
        <v>342</v>
      </c>
      <c r="D63" s="44" t="s">
        <v>343</v>
      </c>
      <c r="E63" s="44" t="s">
        <v>345</v>
      </c>
      <c r="F63" s="67">
        <v>3</v>
      </c>
      <c r="G63" s="44">
        <v>0</v>
      </c>
      <c r="H63" s="44" t="s">
        <v>50</v>
      </c>
      <c r="I63" s="45" t="s">
        <v>346</v>
      </c>
      <c r="K63" s="19" t="str">
        <f t="shared" si="1"/>
        <v>INSERT INTO `comm_constant` (`ID`,`CONSTANT_TYPE`,`CONSTANT_TYPE_NAME`,`CONSTANT_NAME`,`CONSTANT_VALUE`,`DEL_FLG`,`CRT_ID`,`CRT_TIME`,`UPD_ID`,`UPD_TIME`,`ACT_ID`,`ACT_TIME`,`VER`) VALUES ('59', 'MarketSectionType', '菜场地段类型', '远郊', '3', '0', 'admin', now(), 'admin', now(), 'admin', now(), 1);</v>
      </c>
    </row>
    <row r="64" spans="2:11">
      <c r="B64" s="44">
        <f t="shared" si="0"/>
        <v>60</v>
      </c>
      <c r="C64" s="44" t="s">
        <v>342</v>
      </c>
      <c r="D64" s="44" t="s">
        <v>343</v>
      </c>
      <c r="E64" s="44" t="s">
        <v>347</v>
      </c>
      <c r="F64" s="67">
        <v>4</v>
      </c>
      <c r="G64" s="44">
        <v>0</v>
      </c>
      <c r="H64" s="44" t="s">
        <v>50</v>
      </c>
      <c r="I64" s="45" t="s">
        <v>348</v>
      </c>
      <c r="K64" s="19" t="str">
        <f t="shared" si="1"/>
        <v>INSERT INTO `comm_constant` (`ID`,`CONSTANT_TYPE`,`CONSTANT_TYPE_NAME`,`CONSTANT_NAME`,`CONSTANT_VALUE`,`DEL_FLG`,`CRT_ID`,`CRT_TIME`,`UPD_ID`,`UPD_TIME`,`ACT_ID`,`ACT_TIME`,`VER`) VALUES ('60', 'MarketSectionType', '菜场地段类型', '乡镇', '4', '0', 'admin', now(), 'admin', now(), 'admin', now(), 1);</v>
      </c>
    </row>
    <row r="65" spans="2:11">
      <c r="B65" s="44">
        <f t="shared" si="0"/>
        <v>61</v>
      </c>
      <c r="C65" s="44" t="s">
        <v>974</v>
      </c>
      <c r="D65" s="44" t="s">
        <v>350</v>
      </c>
      <c r="E65" s="44" t="s">
        <v>351</v>
      </c>
      <c r="F65" s="67">
        <v>0</v>
      </c>
      <c r="G65" s="44">
        <v>0</v>
      </c>
      <c r="H65" s="44" t="s">
        <v>50</v>
      </c>
      <c r="I65" s="45" t="s">
        <v>352</v>
      </c>
      <c r="K65" s="19" t="str">
        <f t="shared" si="1"/>
        <v>INSERT INTO `comm_constant` (`ID`,`CONSTANT_TYPE`,`CONSTANT_TYPE_NAME`,`CONSTANT_NAME`,`CONSTANT_VALUE`,`DEL_FLG`,`CRT_ID`,`CRT_TIME`,`UPD_ID`,`UPD_TIME`,`ACT_ID`,`ACT_TIME`,`VER`) VALUES ('61', 'MarketLevel', '批发市场级别', '未分级', '0', '0', 'admin', now(), 'admin', now(), 'admin', now(), 1);</v>
      </c>
    </row>
    <row r="66" spans="2:11">
      <c r="B66" s="44">
        <f t="shared" si="0"/>
        <v>62</v>
      </c>
      <c r="C66" s="44" t="s">
        <v>349</v>
      </c>
      <c r="D66" s="44" t="s">
        <v>350</v>
      </c>
      <c r="E66" s="44" t="s">
        <v>353</v>
      </c>
      <c r="F66" s="67">
        <v>1</v>
      </c>
      <c r="G66" s="44">
        <v>0</v>
      </c>
      <c r="H66" s="44" t="s">
        <v>50</v>
      </c>
      <c r="I66" s="45" t="s">
        <v>354</v>
      </c>
      <c r="K66" s="19" t="str">
        <f t="shared" si="1"/>
        <v>INSERT INTO `comm_constant` (`ID`,`CONSTANT_TYPE`,`CONSTANT_TYPE_NAME`,`CONSTANT_NAME`,`CONSTANT_VALUE`,`DEL_FLG`,`CRT_ID`,`CRT_TIME`,`UPD_ID`,`UPD_TIME`,`ACT_ID`,`ACT_TIME`,`VER`) VALUES ('62', 'MarketLevel', '批发市场级别', '一级批发市场', '1', '0', 'admin', now(), 'admin', now(), 'admin', now(), 1);</v>
      </c>
    </row>
    <row r="67" spans="2:11">
      <c r="B67" s="44">
        <f t="shared" si="0"/>
        <v>63</v>
      </c>
      <c r="C67" s="44" t="s">
        <v>349</v>
      </c>
      <c r="D67" s="44" t="s">
        <v>350</v>
      </c>
      <c r="E67" s="44" t="s">
        <v>355</v>
      </c>
      <c r="F67" s="67">
        <v>2</v>
      </c>
      <c r="G67" s="44">
        <v>0</v>
      </c>
      <c r="H67" s="44" t="s">
        <v>50</v>
      </c>
      <c r="I67" s="45" t="s">
        <v>356</v>
      </c>
      <c r="K67" s="19" t="str">
        <f t="shared" si="1"/>
        <v>INSERT INTO `comm_constant` (`ID`,`CONSTANT_TYPE`,`CONSTANT_TYPE_NAME`,`CONSTANT_NAME`,`CONSTANT_VALUE`,`DEL_FLG`,`CRT_ID`,`CRT_TIME`,`UPD_ID`,`UPD_TIME`,`ACT_ID`,`ACT_TIME`,`VER`) VALUES ('63', 'MarketLevel', '批发市场级别', '二级批发市场', '2', '0', 'admin', now(), 'admin', now(), 'admin', now(), 1);</v>
      </c>
    </row>
    <row r="68" spans="2:11">
      <c r="B68" s="44">
        <f t="shared" si="0"/>
        <v>64</v>
      </c>
      <c r="C68" s="44" t="s">
        <v>349</v>
      </c>
      <c r="D68" s="44" t="s">
        <v>350</v>
      </c>
      <c r="E68" s="44" t="s">
        <v>357</v>
      </c>
      <c r="F68" s="67">
        <v>3</v>
      </c>
      <c r="G68" s="44">
        <v>0</v>
      </c>
      <c r="H68" s="44" t="s">
        <v>50</v>
      </c>
      <c r="I68" s="45" t="s">
        <v>975</v>
      </c>
      <c r="K68" s="19" t="str">
        <f t="shared" si="1"/>
        <v>INSERT INTO `comm_constant` (`ID`,`CONSTANT_TYPE`,`CONSTANT_TYPE_NAME`,`CONSTANT_NAME`,`CONSTANT_VALUE`,`DEL_FLG`,`CRT_ID`,`CRT_TIME`,`UPD_ID`,`UPD_TIME`,`ACT_ID`,`ACT_TIME`,`VER`) VALUES ('64', 'MarketLevel', '批发市场级别', '三级批发市场', '3', '0', 'admin', now(), 'admin', now(), 'admin', now(), 1);</v>
      </c>
    </row>
    <row r="69" spans="2:11">
      <c r="B69" s="44">
        <f t="shared" si="0"/>
        <v>65</v>
      </c>
      <c r="C69" s="44" t="s">
        <v>976</v>
      </c>
      <c r="D69" s="44" t="s">
        <v>977</v>
      </c>
      <c r="E69" s="44" t="s">
        <v>650</v>
      </c>
      <c r="F69" s="67">
        <v>1</v>
      </c>
      <c r="G69" s="44">
        <v>0</v>
      </c>
      <c r="H69" s="44" t="s">
        <v>50</v>
      </c>
      <c r="I69" s="45" t="s">
        <v>669</v>
      </c>
      <c r="K69" s="19" t="str">
        <f t="shared" si="1"/>
        <v>INSERT INTO `comm_constant` (`ID`,`CONSTANT_TYPE`,`CONSTANT_TYPE_NAME`,`CONSTANT_NAME`,`CONSTANT_VALUE`,`DEL_FLG`,`CRT_ID`,`CRT_TIME`,`UPD_ID`,`UPD_TIME`,`ACT_ID`,`ACT_TIME`,`VER`) VALUES ('65', 'RadiationRange', '辐射范围', '全物流区', '1', '0', 'admin', now(), 'admin', now(), 'admin', now(), 1);</v>
      </c>
    </row>
    <row r="70" spans="2:11">
      <c r="B70" s="44">
        <f t="shared" si="0"/>
        <v>66</v>
      </c>
      <c r="C70" s="44" t="s">
        <v>976</v>
      </c>
      <c r="D70" s="44" t="s">
        <v>977</v>
      </c>
      <c r="E70" s="44" t="s">
        <v>651</v>
      </c>
      <c r="F70" s="67">
        <v>2</v>
      </c>
      <c r="G70" s="44">
        <v>0</v>
      </c>
      <c r="H70" s="44" t="s">
        <v>50</v>
      </c>
      <c r="I70" s="45" t="s">
        <v>670</v>
      </c>
      <c r="K70" s="19" t="str">
        <f t="shared" ref="K70:K133" si="3">"INSERT INTO `comm_constant` (`ID`,`CONSTANT_TYPE`,`CONSTANT_TYPE_NAME`,`CONSTANT_NAME`,`CONSTANT_VALUE`,`DEL_FLG`,`CRT_ID`,`CRT_TIME`,`UPD_ID`,`UPD_TIME`,`ACT_ID`,`ACT_TIME`,`VER`) VALUES ("&amp;IF(B70="","NULL","'"&amp;B70&amp;"'")&amp;", "&amp;IF(C70="","NULL","'"&amp;C70&amp;"'")&amp;", "&amp;IF(D70="","NULL","'"&amp;D70&amp;"'")&amp;", "&amp;IF(E70="","NULL","'"&amp;E70&amp;"'")&amp;", "&amp;IF(F70="","NULL","'"&amp;F70&amp;"'")&amp;", "&amp;IF(G70="","NULL","'"&amp;G70&amp;"'")&amp;", 'admin', now(), 'admin', now(), 'admin', now(), 1);"</f>
        <v>INSERT INTO `comm_constant` (`ID`,`CONSTANT_TYPE`,`CONSTANT_TYPE_NAME`,`CONSTANT_NAME`,`CONSTANT_VALUE`,`DEL_FLG`,`CRT_ID`,`CRT_TIME`,`UPD_ID`,`UPD_TIME`,`ACT_ID`,`ACT_TIME`,`VER`) VALUES ('66', 'RadiationRange', '辐射范围', '本地区(城市)', '2', '0', 'admin', now(), 'admin', now(), 'admin', now(), 1);</v>
      </c>
    </row>
    <row r="71" spans="2:11">
      <c r="B71" s="44">
        <f t="shared" si="0"/>
        <v>67</v>
      </c>
      <c r="C71" s="44" t="s">
        <v>976</v>
      </c>
      <c r="D71" s="44" t="s">
        <v>977</v>
      </c>
      <c r="E71" s="44" t="s">
        <v>652</v>
      </c>
      <c r="F71" s="67">
        <v>3</v>
      </c>
      <c r="G71" s="44">
        <v>0</v>
      </c>
      <c r="H71" s="44" t="s">
        <v>50</v>
      </c>
      <c r="I71" s="45" t="s">
        <v>671</v>
      </c>
      <c r="K71" s="19" t="str">
        <f t="shared" si="3"/>
        <v>INSERT INTO `comm_constant` (`ID`,`CONSTANT_TYPE`,`CONSTANT_TYPE_NAME`,`CONSTANT_NAME`,`CONSTANT_VALUE`,`DEL_FLG`,`CRT_ID`,`CRT_TIME`,`UPD_ID`,`UPD_TIME`,`ACT_ID`,`ACT_TIME`,`VER`) VALUES ('67', 'RadiationRange', '辐射范围', '本区(县)', '3', '0', 'admin', now(), 'admin', now(), 'admin', now(), 1);</v>
      </c>
    </row>
    <row r="72" spans="2:11">
      <c r="B72" s="44">
        <f t="shared" si="0"/>
        <v>68</v>
      </c>
      <c r="C72" s="44" t="s">
        <v>668</v>
      </c>
      <c r="D72" s="44" t="s">
        <v>667</v>
      </c>
      <c r="E72" s="44" t="s">
        <v>653</v>
      </c>
      <c r="F72" s="67">
        <v>1</v>
      </c>
      <c r="G72" s="44">
        <v>0</v>
      </c>
      <c r="H72" s="44" t="s">
        <v>50</v>
      </c>
      <c r="I72" s="45" t="s">
        <v>672</v>
      </c>
      <c r="K72" s="19" t="str">
        <f t="shared" si="3"/>
        <v>INSERT INTO `comm_constant` (`ID`,`CONSTANT_TYPE`,`CONSTANT_TYPE_NAME`,`CONSTANT_NAME`,`CONSTANT_VALUE`,`DEL_FLG`,`CRT_ID`,`CRT_TIME`,`UPD_ID`,`UPD_TIME`,`ACT_ID`,`ACT_TIME`,`VER`) VALUES ('68', 'FaceBuyerType', '面向买家', '二批、三批分销商', '1', '0', 'admin', now(), 'admin', now(), 'admin', now(), 1);</v>
      </c>
    </row>
    <row r="73" spans="2:11">
      <c r="B73" s="44">
        <f t="shared" si="0"/>
        <v>69</v>
      </c>
      <c r="C73" s="44" t="s">
        <v>668</v>
      </c>
      <c r="D73" s="44" t="s">
        <v>667</v>
      </c>
      <c r="E73" s="44" t="s">
        <v>654</v>
      </c>
      <c r="F73" s="67">
        <v>2</v>
      </c>
      <c r="G73" s="44">
        <v>0</v>
      </c>
      <c r="H73" s="44" t="s">
        <v>50</v>
      </c>
      <c r="I73" s="45" t="s">
        <v>673</v>
      </c>
      <c r="K73" s="19" t="str">
        <f t="shared" si="3"/>
        <v>INSERT INTO `comm_constant` (`ID`,`CONSTANT_TYPE`,`CONSTANT_TYPE_NAME`,`CONSTANT_NAME`,`CONSTANT_VALUE`,`DEL_FLG`,`CRT_ID`,`CRT_TIME`,`UPD_ID`,`UPD_TIME`,`ACT_ID`,`ACT_TIME`,`VER`) VALUES ('69', 'FaceBuyerType', '面向买家', '综合农贸市场买家', '2', '0', 'admin', now(), 'admin', now(), 'admin', now(), 1);</v>
      </c>
    </row>
    <row r="74" spans="2:11">
      <c r="B74" s="44">
        <f t="shared" si="0"/>
        <v>70</v>
      </c>
      <c r="C74" s="44" t="s">
        <v>668</v>
      </c>
      <c r="D74" s="44" t="s">
        <v>667</v>
      </c>
      <c r="E74" s="44" t="s">
        <v>655</v>
      </c>
      <c r="F74" s="67">
        <v>3</v>
      </c>
      <c r="G74" s="44">
        <v>0</v>
      </c>
      <c r="H74" s="44" t="s">
        <v>50</v>
      </c>
      <c r="I74" s="45" t="s">
        <v>674</v>
      </c>
      <c r="K74" s="19" t="str">
        <f t="shared" si="3"/>
        <v>INSERT INTO `comm_constant` (`ID`,`CONSTANT_TYPE`,`CONSTANT_TYPE_NAME`,`CONSTANT_NAME`,`CONSTANT_VALUE`,`DEL_FLG`,`CRT_ID`,`CRT_TIME`,`UPD_ID`,`UPD_TIME`,`ACT_ID`,`ACT_TIME`,`VER`) VALUES ('70', 'FaceBuyerType', '面向买家', '用户', '3', '0', 'admin', now(), 'admin', now(), 'admin', now(), 1);</v>
      </c>
    </row>
    <row r="75" spans="2:11">
      <c r="B75" s="44">
        <f t="shared" si="0"/>
        <v>71</v>
      </c>
      <c r="C75" s="44" t="s">
        <v>664</v>
      </c>
      <c r="D75" s="44" t="s">
        <v>663</v>
      </c>
      <c r="E75" s="44" t="s">
        <v>656</v>
      </c>
      <c r="F75" s="67">
        <v>1</v>
      </c>
      <c r="G75" s="44">
        <v>0</v>
      </c>
      <c r="H75" s="44" t="s">
        <v>50</v>
      </c>
      <c r="I75" s="45" t="s">
        <v>675</v>
      </c>
      <c r="K75" s="19" t="str">
        <f t="shared" si="3"/>
        <v>INSERT INTO `comm_constant` (`ID`,`CONSTANT_TYPE`,`CONSTANT_TYPE_NAME`,`CONSTANT_NAME`,`CONSTANT_VALUE`,`DEL_FLG`,`CRT_ID`,`CRT_TIME`,`UPD_ID`,`UPD_TIME`,`ACT_ID`,`ACT_TIME`,`VER`) VALUES ('71', 'MerchantType', '商户类型', '单一产品买家', '1', '0', 'admin', now(), 'admin', now(), 'admin', now(), 1);</v>
      </c>
    </row>
    <row r="76" spans="2:11">
      <c r="B76" s="44">
        <f t="shared" si="0"/>
        <v>72</v>
      </c>
      <c r="C76" s="44" t="s">
        <v>664</v>
      </c>
      <c r="D76" s="44" t="s">
        <v>663</v>
      </c>
      <c r="E76" s="44" t="s">
        <v>657</v>
      </c>
      <c r="F76" s="67">
        <v>2</v>
      </c>
      <c r="G76" s="44">
        <v>0</v>
      </c>
      <c r="H76" s="44" t="s">
        <v>50</v>
      </c>
      <c r="I76" s="45" t="s">
        <v>676</v>
      </c>
      <c r="K76" s="19" t="str">
        <f t="shared" si="3"/>
        <v>INSERT INTO `comm_constant` (`ID`,`CONSTANT_TYPE`,`CONSTANT_TYPE_NAME`,`CONSTANT_NAME`,`CONSTANT_VALUE`,`DEL_FLG`,`CRT_ID`,`CRT_TIME`,`UPD_ID`,`UPD_TIME`,`ACT_ID`,`ACT_TIME`,`VER`) VALUES ('72', 'MerchantType', '商户类型', '组合产品买家', '2', '0', 'admin', now(), 'admin', now(), 'admin', now(), 1);</v>
      </c>
    </row>
    <row r="77" spans="2:11">
      <c r="B77" s="44">
        <f t="shared" si="0"/>
        <v>73</v>
      </c>
      <c r="C77" s="44" t="s">
        <v>664</v>
      </c>
      <c r="D77" s="44" t="s">
        <v>663</v>
      </c>
      <c r="E77" s="44" t="s">
        <v>658</v>
      </c>
      <c r="F77" s="67">
        <v>3</v>
      </c>
      <c r="G77" s="44">
        <v>0</v>
      </c>
      <c r="H77" s="44" t="s">
        <v>50</v>
      </c>
      <c r="I77" s="45" t="s">
        <v>677</v>
      </c>
      <c r="K77" s="19" t="str">
        <f t="shared" si="3"/>
        <v>INSERT INTO `comm_constant` (`ID`,`CONSTANT_TYPE`,`CONSTANT_TYPE_NAME`,`CONSTANT_NAME`,`CONSTANT_VALUE`,`DEL_FLG`,`CRT_ID`,`CRT_TIME`,`UPD_ID`,`UPD_TIME`,`ACT_ID`,`ACT_TIME`,`VER`) VALUES ('73', 'MerchantType', '商户类型', '综合产品买家', '3', '0', 'admin', now(), 'admin', now(), 'admin', now(), 1);</v>
      </c>
    </row>
    <row r="78" spans="2:11">
      <c r="B78" s="44">
        <f t="shared" si="0"/>
        <v>74</v>
      </c>
      <c r="C78" s="44" t="s">
        <v>666</v>
      </c>
      <c r="D78" s="44" t="s">
        <v>665</v>
      </c>
      <c r="E78" s="44" t="s">
        <v>659</v>
      </c>
      <c r="F78" s="67">
        <v>1</v>
      </c>
      <c r="G78" s="44">
        <v>0</v>
      </c>
      <c r="H78" s="44" t="s">
        <v>50</v>
      </c>
      <c r="I78" s="45" t="s">
        <v>678</v>
      </c>
      <c r="K78" s="19" t="str">
        <f t="shared" si="3"/>
        <v>INSERT INTO `comm_constant` (`ID`,`CONSTANT_TYPE`,`CONSTANT_TYPE_NAME`,`CONSTANT_NAME`,`CONSTANT_VALUE`,`DEL_FLG`,`CRT_ID`,`CRT_TIME`,`UPD_ID`,`UPD_TIME`,`ACT_ID`,`ACT_TIME`,`VER`) VALUES ('74', 'TerminalMarketNature', '批发市场性质', '综合（冻品类)', '1', '0', 'admin', now(), 'admin', now(), 'admin', now(), 1);</v>
      </c>
    </row>
    <row r="79" spans="2:11">
      <c r="B79" s="44">
        <f t="shared" si="0"/>
        <v>75</v>
      </c>
      <c r="C79" s="44" t="s">
        <v>666</v>
      </c>
      <c r="D79" s="44" t="s">
        <v>665</v>
      </c>
      <c r="E79" s="44" t="s">
        <v>660</v>
      </c>
      <c r="F79" s="67">
        <v>2</v>
      </c>
      <c r="G79" s="44">
        <v>0</v>
      </c>
      <c r="H79" s="44" t="s">
        <v>50</v>
      </c>
      <c r="I79" s="45" t="s">
        <v>679</v>
      </c>
      <c r="K79" s="19" t="str">
        <f t="shared" si="3"/>
        <v>INSERT INTO `comm_constant` (`ID`,`CONSTANT_TYPE`,`CONSTANT_TYPE_NAME`,`CONSTANT_NAME`,`CONSTANT_VALUE`,`DEL_FLG`,`CRT_ID`,`CRT_TIME`,`UPD_ID`,`UPD_TIME`,`ACT_ID`,`ACT_TIME`,`VER`) VALUES ('75', 'TerminalMarketNature', '批发市场性质', '非综合（冻品类）', '2', '0', 'admin', now(), 'admin', now(), 'admin', now(), 1);</v>
      </c>
    </row>
    <row r="80" spans="2:11">
      <c r="B80" s="44">
        <f t="shared" si="0"/>
        <v>76</v>
      </c>
      <c r="C80" s="44" t="s">
        <v>666</v>
      </c>
      <c r="D80" s="44" t="s">
        <v>665</v>
      </c>
      <c r="E80" s="44" t="s">
        <v>661</v>
      </c>
      <c r="F80" s="67">
        <v>3</v>
      </c>
      <c r="G80" s="44">
        <v>0</v>
      </c>
      <c r="H80" s="44" t="s">
        <v>50</v>
      </c>
      <c r="I80" s="45" t="s">
        <v>680</v>
      </c>
      <c r="K80" s="19" t="str">
        <f t="shared" si="3"/>
        <v>INSERT INTO `comm_constant` (`ID`,`CONSTANT_TYPE`,`CONSTANT_TYPE_NAME`,`CONSTANT_NAME`,`CONSTANT_VALUE`,`DEL_FLG`,`CRT_ID`,`CRT_TIME`,`UPD_ID`,`UPD_TIME`,`ACT_ID`,`ACT_TIME`,`VER`) VALUES ('76', 'TerminalMarketNature', '批发市场性质', '综合（常温产品类)', '3', '0', 'admin', now(), 'admin', now(), 'admin', now(), 1);</v>
      </c>
    </row>
    <row r="81" spans="2:11">
      <c r="B81" s="44">
        <f t="shared" si="0"/>
        <v>77</v>
      </c>
      <c r="C81" s="44" t="s">
        <v>666</v>
      </c>
      <c r="D81" s="44" t="s">
        <v>665</v>
      </c>
      <c r="E81" s="44" t="s">
        <v>662</v>
      </c>
      <c r="F81" s="67">
        <v>4</v>
      </c>
      <c r="G81" s="44">
        <v>0</v>
      </c>
      <c r="H81" s="44" t="s">
        <v>50</v>
      </c>
      <c r="I81" s="45" t="s">
        <v>681</v>
      </c>
      <c r="K81" s="19" t="str">
        <f t="shared" si="3"/>
        <v>INSERT INTO `comm_constant` (`ID`,`CONSTANT_TYPE`,`CONSTANT_TYPE_NAME`,`CONSTANT_NAME`,`CONSTANT_VALUE`,`DEL_FLG`,`CRT_ID`,`CRT_TIME`,`UPD_ID`,`UPD_TIME`,`ACT_ID`,`ACT_TIME`,`VER`) VALUES ('77', 'TerminalMarketNature', '批发市场性质', '非综合（常温产品类）', '4', '0', 'admin', now(), 'admin', now(), 'admin', now(), 1);</v>
      </c>
    </row>
    <row r="82" spans="2:11">
      <c r="B82" s="44">
        <f t="shared" si="0"/>
        <v>78</v>
      </c>
      <c r="C82" s="44" t="s">
        <v>683</v>
      </c>
      <c r="D82" s="44" t="s">
        <v>682</v>
      </c>
      <c r="E82" s="44" t="s">
        <v>684</v>
      </c>
      <c r="F82" s="67">
        <v>0</v>
      </c>
      <c r="G82" s="44">
        <v>0</v>
      </c>
      <c r="H82" s="44" t="s">
        <v>50</v>
      </c>
      <c r="I82" s="45" t="s">
        <v>697</v>
      </c>
      <c r="K82" s="19" t="str">
        <f t="shared" si="3"/>
        <v>INSERT INTO `comm_constant` (`ID`,`CONSTANT_TYPE`,`CONSTANT_TYPE_NAME`,`CONSTANT_NAME`,`CONSTANT_VALUE`,`DEL_FLG`,`CRT_ID`,`CRT_TIME`,`UPD_ID`,`UPD_TIME`,`ACT_ID`,`ACT_TIME`,`VER`) VALUES ('78', 'MarketApproveStatus', '市场审批状态', '未审批', '0', '0', 'admin', now(), 'admin', now(), 'admin', now(), 1);</v>
      </c>
    </row>
    <row r="83" spans="2:11">
      <c r="B83" s="44">
        <f t="shared" si="0"/>
        <v>79</v>
      </c>
      <c r="C83" s="44" t="s">
        <v>683</v>
      </c>
      <c r="D83" s="44" t="s">
        <v>682</v>
      </c>
      <c r="E83" s="44" t="s">
        <v>154</v>
      </c>
      <c r="F83" s="67">
        <v>1</v>
      </c>
      <c r="G83" s="44">
        <v>0</v>
      </c>
      <c r="H83" s="44" t="s">
        <v>50</v>
      </c>
      <c r="I83" s="45" t="s">
        <v>698</v>
      </c>
      <c r="K83" s="19" t="str">
        <f t="shared" si="3"/>
        <v>INSERT INTO `comm_constant` (`ID`,`CONSTANT_TYPE`,`CONSTANT_TYPE_NAME`,`CONSTANT_NAME`,`CONSTANT_VALUE`,`DEL_FLG`,`CRT_ID`,`CRT_TIME`,`UPD_ID`,`UPD_TIME`,`ACT_ID`,`ACT_TIME`,`VER`) VALUES ('79', 'MarketApproveStatus', '市场审批状态', '已审批', '1', '0', 'admin', now(), 'admin', now(), 'admin', now(), 1);</v>
      </c>
    </row>
    <row r="84" spans="2:11">
      <c r="B84" s="44">
        <f t="shared" si="0"/>
        <v>80</v>
      </c>
      <c r="C84" s="44" t="s">
        <v>686</v>
      </c>
      <c r="D84" s="44" t="s">
        <v>685</v>
      </c>
      <c r="E84" s="44" t="s">
        <v>687</v>
      </c>
      <c r="F84" s="67">
        <v>1</v>
      </c>
      <c r="G84" s="44">
        <v>0</v>
      </c>
      <c r="H84" s="44" t="s">
        <v>50</v>
      </c>
      <c r="I84" s="45" t="s">
        <v>699</v>
      </c>
      <c r="K84" s="19" t="str">
        <f t="shared" si="3"/>
        <v>INSERT INTO `comm_constant` (`ID`,`CONSTANT_TYPE`,`CONSTANT_TYPE_NAME`,`CONSTANT_NAME`,`CONSTANT_VALUE`,`DEL_FLG`,`CRT_ID`,`CRT_TIME`,`UPD_ID`,`UPD_TIME`,`ACT_ID`,`ACT_TIME`,`VER`) VALUES ('80', 'TargetMarketBuyer', '是否目标买家', '目标买家', '1', '0', 'admin', now(), 'admin', now(), 'admin', now(), 1);</v>
      </c>
    </row>
    <row r="85" spans="2:11">
      <c r="B85" s="44">
        <f t="shared" si="0"/>
        <v>81</v>
      </c>
      <c r="C85" s="44" t="s">
        <v>686</v>
      </c>
      <c r="D85" s="44" t="s">
        <v>685</v>
      </c>
      <c r="E85" s="44" t="s">
        <v>688</v>
      </c>
      <c r="F85" s="67">
        <v>0</v>
      </c>
      <c r="G85" s="44">
        <v>0</v>
      </c>
      <c r="H85" s="44" t="s">
        <v>50</v>
      </c>
      <c r="I85" s="45" t="s">
        <v>700</v>
      </c>
      <c r="K85" s="19" t="str">
        <f t="shared" si="3"/>
        <v>INSERT INTO `comm_constant` (`ID`,`CONSTANT_TYPE`,`CONSTANT_TYPE_NAME`,`CONSTANT_NAME`,`CONSTANT_VALUE`,`DEL_FLG`,`CRT_ID`,`CRT_TIME`,`UPD_ID`,`UPD_TIME`,`ACT_ID`,`ACT_TIME`,`VER`) VALUES ('81', 'TargetMarketBuyer', '是否目标买家', '非目标买家', '0', '0', 'admin', now(), 'admin', now(), 'admin', now(), 1);</v>
      </c>
    </row>
    <row r="86" spans="2:11">
      <c r="B86" s="44">
        <f t="shared" si="0"/>
        <v>82</v>
      </c>
      <c r="C86" s="44" t="s">
        <v>690</v>
      </c>
      <c r="D86" s="44" t="s">
        <v>689</v>
      </c>
      <c r="E86" s="44" t="s">
        <v>691</v>
      </c>
      <c r="F86" s="67">
        <v>1</v>
      </c>
      <c r="G86" s="44">
        <v>0</v>
      </c>
      <c r="H86" s="44" t="s">
        <v>50</v>
      </c>
      <c r="I86" s="45" t="s">
        <v>701</v>
      </c>
      <c r="K86" s="19" t="str">
        <f t="shared" si="3"/>
        <v>INSERT INTO `comm_constant` (`ID`,`CONSTANT_TYPE`,`CONSTANT_TYPE_NAME`,`CONSTANT_NAME`,`CONSTANT_VALUE`,`DEL_FLG`,`CRT_ID`,`CRT_TIME`,`UPD_ID`,`UPD_TIME`,`ACT_ID`,`ACT_TIME`,`VER`) VALUES ('82', 'FoodRadiationRange', '菜场辐射范围', '周边居民', '1', '0', 'admin', now(), 'admin', now(), 'admin', now(), 1);</v>
      </c>
    </row>
    <row r="87" spans="2:11">
      <c r="B87" s="44">
        <f t="shared" si="0"/>
        <v>83</v>
      </c>
      <c r="C87" s="44" t="s">
        <v>690</v>
      </c>
      <c r="D87" s="44" t="s">
        <v>689</v>
      </c>
      <c r="E87" s="44" t="s">
        <v>692</v>
      </c>
      <c r="F87" s="67">
        <v>2</v>
      </c>
      <c r="G87" s="44">
        <v>0</v>
      </c>
      <c r="H87" s="44" t="s">
        <v>50</v>
      </c>
      <c r="I87" s="45" t="s">
        <v>702</v>
      </c>
      <c r="K87" s="19" t="str">
        <f t="shared" si="3"/>
        <v>INSERT INTO `comm_constant` (`ID`,`CONSTANT_TYPE`,`CONSTANT_TYPE_NAME`,`CONSTANT_NAME`,`CONSTANT_VALUE`,`DEL_FLG`,`CRT_ID`,`CRT_TIME`,`UPD_ID`,`UPD_TIME`,`ACT_ID`,`ACT_TIME`,`VER`) VALUES ('83', 'FoodRadiationRange', '菜场辐射范围', '本区(县)1/4或以上区域', '2', '0', 'admin', now(), 'admin', now(), 'admin', now(), 1);</v>
      </c>
    </row>
    <row r="88" spans="2:11">
      <c r="B88" s="44">
        <f t="shared" si="0"/>
        <v>84</v>
      </c>
      <c r="C88" s="44" t="s">
        <v>694</v>
      </c>
      <c r="D88" s="44" t="s">
        <v>693</v>
      </c>
      <c r="E88" s="44" t="s">
        <v>695</v>
      </c>
      <c r="F88" s="67">
        <v>1</v>
      </c>
      <c r="G88" s="44">
        <v>0</v>
      </c>
      <c r="H88" s="44" t="s">
        <v>50</v>
      </c>
      <c r="I88" s="45" t="s">
        <v>703</v>
      </c>
      <c r="K88" s="19" t="str">
        <f t="shared" si="3"/>
        <v>INSERT INTO `comm_constant` (`ID`,`CONSTANT_TYPE`,`CONSTANT_TYPE_NAME`,`CONSTANT_NAME`,`CONSTANT_VALUE`,`DEL_FLG`,`CRT_ID`,`CRT_TIME`,`UPD_ID`,`UPD_TIME`,`ACT_ID`,`ACT_TIME`,`VER`) VALUES ('84', 'AverageMarketPrice', '市场买家定价平均水平', '本区(县)平均水平', '1', '0', 'admin', now(), 'admin', now(), 'admin', now(), 1);</v>
      </c>
    </row>
    <row r="89" spans="2:11">
      <c r="B89" s="44">
        <f t="shared" si="0"/>
        <v>85</v>
      </c>
      <c r="C89" s="44" t="s">
        <v>694</v>
      </c>
      <c r="D89" s="44" t="s">
        <v>693</v>
      </c>
      <c r="E89" s="44" t="s">
        <v>696</v>
      </c>
      <c r="F89" s="67">
        <v>2</v>
      </c>
      <c r="G89" s="44">
        <v>0</v>
      </c>
      <c r="H89" s="44" t="s">
        <v>50</v>
      </c>
      <c r="I89" s="45" t="s">
        <v>704</v>
      </c>
      <c r="K89" s="19" t="str">
        <f t="shared" si="3"/>
        <v>INSERT INTO `comm_constant` (`ID`,`CONSTANT_TYPE`,`CONSTANT_TYPE_NAME`,`CONSTANT_NAME`,`CONSTANT_VALUE`,`DEL_FLG`,`CRT_ID`,`CRT_TIME`,`UPD_ID`,`UPD_TIME`,`ACT_ID`,`ACT_TIME`,`VER`) VALUES ('85', 'AverageMarketPrice', '市场买家定价平均水平', '较本区(县)平均水平低2%-3%', '2', '0', 'admin', now(), 'admin', now(), 'admin', now(), 1);</v>
      </c>
    </row>
    <row r="90" spans="2:11">
      <c r="B90" s="44">
        <f t="shared" si="0"/>
        <v>86</v>
      </c>
      <c r="C90" s="44" t="s">
        <v>978</v>
      </c>
      <c r="D90" s="44" t="s">
        <v>979</v>
      </c>
      <c r="E90" s="44" t="s">
        <v>980</v>
      </c>
      <c r="F90" s="66" t="s">
        <v>981</v>
      </c>
      <c r="G90" s="44">
        <v>0</v>
      </c>
      <c r="H90" s="44" t="s">
        <v>50</v>
      </c>
      <c r="I90" s="45" t="s">
        <v>982</v>
      </c>
      <c r="K90" s="19" t="str">
        <f t="shared" si="3"/>
        <v>INSERT INTO `comm_constant` (`ID`,`CONSTANT_TYPE`,`CONSTANT_TYPE_NAME`,`CONSTANT_NAME`,`CONSTANT_VALUE`,`DEL_FLG`,`CRT_ID`,`CRT_TIME`,`UPD_ID`,`UPD_TIME`,`ACT_ID`,`ACT_TIME`,`VER`) VALUES ('86', 'MarketingsStatus', '买家上线状态', '预注册买家', '01', '0', 'admin', now(), 'admin', now(), 'admin', now(), 1);</v>
      </c>
    </row>
    <row r="91" spans="2:11">
      <c r="B91" s="44">
        <f t="shared" si="0"/>
        <v>87</v>
      </c>
      <c r="C91" s="44" t="s">
        <v>978</v>
      </c>
      <c r="D91" s="44" t="s">
        <v>979</v>
      </c>
      <c r="E91" s="44" t="s">
        <v>983</v>
      </c>
      <c r="F91" s="66" t="s">
        <v>984</v>
      </c>
      <c r="G91" s="44">
        <v>0</v>
      </c>
      <c r="H91" s="44" t="s">
        <v>50</v>
      </c>
      <c r="I91" s="45" t="s">
        <v>985</v>
      </c>
      <c r="K91" s="19" t="str">
        <f t="shared" si="3"/>
        <v>INSERT INTO `comm_constant` (`ID`,`CONSTANT_TYPE`,`CONSTANT_TYPE_NAME`,`CONSTANT_NAME`,`CONSTANT_VALUE`,`DEL_FLG`,`CRT_ID`,`CRT_TIME`,`UPD_ID`,`UPD_TIME`,`ACT_ID`,`ACT_TIME`,`VER`) VALUES ('87', 'MarketingsStatus', '买家上线状态', '未营销成功买家', '02', '0', 'admin', now(), 'admin', now(), 'admin', now(), 1);</v>
      </c>
    </row>
    <row r="92" spans="2:11">
      <c r="B92" s="44">
        <f t="shared" si="0"/>
        <v>88</v>
      </c>
      <c r="C92" s="44" t="s">
        <v>978</v>
      </c>
      <c r="D92" s="44" t="s">
        <v>979</v>
      </c>
      <c r="E92" s="44" t="s">
        <v>986</v>
      </c>
      <c r="F92" s="66" t="s">
        <v>987</v>
      </c>
      <c r="G92" s="44">
        <v>0</v>
      </c>
      <c r="H92" s="44" t="s">
        <v>50</v>
      </c>
      <c r="I92" s="45" t="s">
        <v>988</v>
      </c>
      <c r="K92" s="19" t="str">
        <f t="shared" si="3"/>
        <v>INSERT INTO `comm_constant` (`ID`,`CONSTANT_TYPE`,`CONSTANT_TYPE_NAME`,`CONSTANT_NAME`,`CONSTANT_VALUE`,`DEL_FLG`,`CRT_ID`,`CRT_TIME`,`UPD_ID`,`UPD_TIME`,`ACT_ID`,`ACT_TIME`,`VER`) VALUES ('88', 'MarketingsStatus', '买家上线状态', '激活期会员', '11', '0', 'admin', now(), 'admin', now(), 'admin', now(), 1);</v>
      </c>
    </row>
    <row r="93" spans="2:11">
      <c r="B93" s="44">
        <f t="shared" si="0"/>
        <v>89</v>
      </c>
      <c r="C93" s="44" t="s">
        <v>978</v>
      </c>
      <c r="D93" s="44" t="s">
        <v>979</v>
      </c>
      <c r="E93" s="44" t="s">
        <v>989</v>
      </c>
      <c r="F93" s="66" t="s">
        <v>990</v>
      </c>
      <c r="G93" s="44">
        <v>0</v>
      </c>
      <c r="H93" s="44" t="s">
        <v>50</v>
      </c>
      <c r="I93" s="45" t="s">
        <v>991</v>
      </c>
      <c r="K93" s="19" t="str">
        <f t="shared" si="3"/>
        <v>INSERT INTO `comm_constant` (`ID`,`CONSTANT_TYPE`,`CONSTANT_TYPE_NAME`,`CONSTANT_NAME`,`CONSTANT_VALUE`,`DEL_FLG`,`CRT_ID`,`CRT_TIME`,`UPD_ID`,`UPD_TIME`,`ACT_ID`,`ACT_TIME`,`VER`) VALUES ('89', 'MarketingsStatus', '买家上线状态', '稳定期核心会员', '21', '0', 'admin', now(), 'admin', now(), 'admin', now(), 1);</v>
      </c>
    </row>
    <row r="94" spans="2:11">
      <c r="B94" s="44">
        <f t="shared" si="0"/>
        <v>90</v>
      </c>
      <c r="C94" s="44" t="s">
        <v>978</v>
      </c>
      <c r="D94" s="44" t="s">
        <v>979</v>
      </c>
      <c r="E94" s="44" t="s">
        <v>992</v>
      </c>
      <c r="F94" s="66" t="s">
        <v>993</v>
      </c>
      <c r="G94" s="44">
        <v>0</v>
      </c>
      <c r="H94" s="44" t="s">
        <v>50</v>
      </c>
      <c r="I94" s="45" t="s">
        <v>994</v>
      </c>
      <c r="K94" s="19" t="str">
        <f t="shared" si="3"/>
        <v>INSERT INTO `comm_constant` (`ID`,`CONSTANT_TYPE`,`CONSTANT_TYPE_NAME`,`CONSTANT_NAME`,`CONSTANT_VALUE`,`DEL_FLG`,`CRT_ID`,`CRT_TIME`,`UPD_ID`,`UPD_TIME`,`ACT_ID`,`ACT_TIME`,`VER`) VALUES ('90', 'MarketingsStatus', '买家上线状态', '稳定期标准会员', '22', '0', 'admin', now(), 'admin', now(), 'admin', now(), 1);</v>
      </c>
    </row>
    <row r="95" spans="2:11">
      <c r="B95" s="44">
        <f t="shared" si="0"/>
        <v>91</v>
      </c>
      <c r="C95" s="44" t="s">
        <v>978</v>
      </c>
      <c r="D95" s="44" t="s">
        <v>979</v>
      </c>
      <c r="E95" s="44" t="s">
        <v>995</v>
      </c>
      <c r="F95" s="66" t="s">
        <v>996</v>
      </c>
      <c r="G95" s="44">
        <v>0</v>
      </c>
      <c r="H95" s="44" t="s">
        <v>50</v>
      </c>
      <c r="I95" s="45" t="s">
        <v>762</v>
      </c>
      <c r="K95" s="19" t="str">
        <f t="shared" si="3"/>
        <v>INSERT INTO `comm_constant` (`ID`,`CONSTANT_TYPE`,`CONSTANT_TYPE_NAME`,`CONSTANT_NAME`,`CONSTANT_VALUE`,`DEL_FLG`,`CRT_ID`,`CRT_TIME`,`UPD_ID`,`UPD_TIME`,`ACT_ID`,`ACT_TIME`,`VER`) VALUES ('91', 'MarketingsStatus', '买家上线状态', '预警期会员', '13', '0', 'admin', now(), 'admin', now(), 'admin', now(), 1);</v>
      </c>
    </row>
    <row r="96" spans="2:11">
      <c r="B96" s="44">
        <f t="shared" si="0"/>
        <v>92</v>
      </c>
      <c r="C96" s="44" t="s">
        <v>978</v>
      </c>
      <c r="D96" s="44" t="s">
        <v>979</v>
      </c>
      <c r="E96" s="44" t="s">
        <v>997</v>
      </c>
      <c r="F96" s="66" t="s">
        <v>998</v>
      </c>
      <c r="G96" s="44">
        <v>0</v>
      </c>
      <c r="H96" s="44" t="s">
        <v>50</v>
      </c>
      <c r="I96" s="45" t="s">
        <v>1219</v>
      </c>
      <c r="K96" s="19" t="str">
        <f t="shared" si="3"/>
        <v>INSERT INTO `comm_constant` (`ID`,`CONSTANT_TYPE`,`CONSTANT_TYPE_NAME`,`CONSTANT_NAME`,`CONSTANT_VALUE`,`DEL_FLG`,`CRT_ID`,`CRT_TIME`,`UPD_ID`,`UPD_TIME`,`ACT_ID`,`ACT_TIME`,`VER`) VALUES ('92', 'MarketingsStatus', '买家上线状态', '销售期公众买家', '14', '0', 'admin', now(), 'admin', now(), 'admin', now(), 1);</v>
      </c>
    </row>
    <row r="97" spans="2:11">
      <c r="B97" s="44">
        <f t="shared" si="0"/>
        <v>93</v>
      </c>
      <c r="C97" s="44" t="s">
        <v>978</v>
      </c>
      <c r="D97" s="44" t="s">
        <v>979</v>
      </c>
      <c r="E97" s="44" t="s">
        <v>1220</v>
      </c>
      <c r="F97" s="66" t="s">
        <v>1221</v>
      </c>
      <c r="G97" s="44">
        <v>0</v>
      </c>
      <c r="H97" s="44" t="s">
        <v>50</v>
      </c>
      <c r="I97" s="45" t="s">
        <v>1222</v>
      </c>
      <c r="K97" s="19" t="str">
        <f t="shared" si="3"/>
        <v>INSERT INTO `comm_constant` (`ID`,`CONSTANT_TYPE`,`CONSTANT_TYPE_NAME`,`CONSTANT_NAME`,`CONSTANT_VALUE`,`DEL_FLG`,`CRT_ID`,`CRT_TIME`,`UPD_ID`,`UPD_TIME`,`ACT_ID`,`ACT_TIME`,`VER`) VALUES ('93', 'MarketingsStatus', '买家上线状态', '停业买家', '31', '0', 'admin', now(), 'admin', now(), 'admin', now(), 1);</v>
      </c>
    </row>
    <row r="98" spans="2:11">
      <c r="B98" s="44">
        <f t="shared" si="0"/>
        <v>94</v>
      </c>
      <c r="C98" s="44" t="s">
        <v>978</v>
      </c>
      <c r="D98" s="44" t="s">
        <v>979</v>
      </c>
      <c r="E98" s="44" t="s">
        <v>1223</v>
      </c>
      <c r="F98" s="66" t="s">
        <v>1224</v>
      </c>
      <c r="G98" s="44">
        <v>0</v>
      </c>
      <c r="H98" s="44" t="s">
        <v>50</v>
      </c>
      <c r="I98" s="45" t="s">
        <v>1225</v>
      </c>
      <c r="K98" s="19" t="str">
        <f t="shared" si="3"/>
        <v>INSERT INTO `comm_constant` (`ID`,`CONSTANT_TYPE`,`CONSTANT_TYPE_NAME`,`CONSTANT_NAME`,`CONSTANT_VALUE`,`DEL_FLG`,`CRT_ID`,`CRT_TIME`,`UPD_ID`,`UPD_TIME`,`ACT_ID`,`ACT_TIME`,`VER`) VALUES ('94', 'MarketingsStatus', '买家上线状态', '信息错误买家', '32', '0', 'admin', now(), 'admin', now(), 'admin', now(), 1);</v>
      </c>
    </row>
    <row r="99" spans="2:11">
      <c r="B99" s="44">
        <f t="shared" si="0"/>
        <v>95</v>
      </c>
      <c r="C99" s="44" t="s">
        <v>1226</v>
      </c>
      <c r="D99" s="44" t="s">
        <v>1227</v>
      </c>
      <c r="E99" s="44" t="s">
        <v>1228</v>
      </c>
      <c r="F99" s="79">
        <v>1</v>
      </c>
      <c r="G99" s="44">
        <v>0</v>
      </c>
      <c r="H99" s="44" t="s">
        <v>50</v>
      </c>
      <c r="I99" s="45" t="s">
        <v>1229</v>
      </c>
      <c r="K99" s="19" t="str">
        <f t="shared" si="3"/>
        <v>INSERT INTO `comm_constant` (`ID`,`CONSTANT_TYPE`,`CONSTANT_TYPE_NAME`,`CONSTANT_NAME`,`CONSTANT_VALUE`,`DEL_FLG`,`CRT_ID`,`CRT_TIME`,`UPD_ID`,`UPD_TIME`,`ACT_ID`,`ACT_TIME`,`VER`) VALUES ('95', 'MarketResearchPhase', '市场调研阶段', '先期调研阶段', '1', '0', 'admin', now(), 'admin', now(), 'admin', now(), 1);</v>
      </c>
    </row>
    <row r="100" spans="2:11">
      <c r="B100" s="44">
        <f t="shared" si="0"/>
        <v>96</v>
      </c>
      <c r="C100" s="44" t="s">
        <v>1226</v>
      </c>
      <c r="D100" s="44" t="s">
        <v>1227</v>
      </c>
      <c r="E100" s="44" t="s">
        <v>1230</v>
      </c>
      <c r="F100" s="79">
        <v>2</v>
      </c>
      <c r="G100" s="44">
        <v>0</v>
      </c>
      <c r="H100" s="44" t="s">
        <v>50</v>
      </c>
      <c r="I100" s="45" t="s">
        <v>1231</v>
      </c>
      <c r="K100" s="19" t="str">
        <f t="shared" si="3"/>
        <v>INSERT INTO `comm_constant` (`ID`,`CONSTANT_TYPE`,`CONSTANT_TYPE_NAME`,`CONSTANT_NAME`,`CONSTANT_VALUE`,`DEL_FLG`,`CRT_ID`,`CRT_TIME`,`UPD_ID`,`UPD_TIME`,`ACT_ID`,`ACT_TIME`,`VER`) VALUES ('96', 'MarketResearchPhase', '市场调研阶段', '现场稽核阶段', '2', '0', 'admin', now(), 'admin', now(), 'admin', now(), 1);</v>
      </c>
    </row>
    <row r="101" spans="2:11">
      <c r="B101" s="44">
        <f t="shared" si="0"/>
        <v>97</v>
      </c>
      <c r="C101" s="44" t="s">
        <v>1232</v>
      </c>
      <c r="D101" s="44" t="s">
        <v>1233</v>
      </c>
      <c r="E101" s="44" t="s">
        <v>1234</v>
      </c>
      <c r="F101" s="79">
        <v>1</v>
      </c>
      <c r="G101" s="44">
        <v>0</v>
      </c>
      <c r="H101" s="44" t="s">
        <v>50</v>
      </c>
      <c r="I101" s="45" t="s">
        <v>915</v>
      </c>
      <c r="K101" s="19" t="str">
        <f t="shared" si="3"/>
        <v>INSERT INTO `comm_constant` (`ID`,`CONSTANT_TYPE`,`CONSTANT_TYPE_NAME`,`CONSTANT_NAME`,`CONSTANT_VALUE`,`DEL_FLG`,`CRT_ID`,`CRT_TIME`,`UPD_ID`,`UPD_TIME`,`ACT_ID`,`ACT_TIME`,`VER`) VALUES ('97', 'HabitReceivePeriodType', '习惯收货时间段', '06:00-08:00', '1', '0', 'admin', now(), 'admin', now(), 'admin', now(), 1);</v>
      </c>
    </row>
    <row r="102" spans="2:11">
      <c r="B102" s="44">
        <f t="shared" si="0"/>
        <v>98</v>
      </c>
      <c r="C102" s="44" t="s">
        <v>1232</v>
      </c>
      <c r="D102" s="44" t="s">
        <v>1233</v>
      </c>
      <c r="E102" s="44" t="s">
        <v>1235</v>
      </c>
      <c r="F102" s="79">
        <v>2</v>
      </c>
      <c r="G102" s="44">
        <v>0</v>
      </c>
      <c r="H102" s="44" t="s">
        <v>50</v>
      </c>
      <c r="I102" s="45" t="s">
        <v>916</v>
      </c>
      <c r="K102" s="19" t="str">
        <f t="shared" si="3"/>
        <v>INSERT INTO `comm_constant` (`ID`,`CONSTANT_TYPE`,`CONSTANT_TYPE_NAME`,`CONSTANT_NAME`,`CONSTANT_VALUE`,`DEL_FLG`,`CRT_ID`,`CRT_TIME`,`UPD_ID`,`UPD_TIME`,`ACT_ID`,`ACT_TIME`,`VER`) VALUES ('98', 'HabitReceivePeriodType', '习惯收货时间段', '08:00-10:00', '2', '0', 'admin', now(), 'admin', now(), 'admin', now(), 1);</v>
      </c>
    </row>
    <row r="103" spans="2:11">
      <c r="B103" s="44">
        <f t="shared" si="0"/>
        <v>99</v>
      </c>
      <c r="C103" s="44" t="s">
        <v>1232</v>
      </c>
      <c r="D103" s="44" t="s">
        <v>1233</v>
      </c>
      <c r="E103" s="44" t="s">
        <v>1236</v>
      </c>
      <c r="F103" s="79">
        <v>3</v>
      </c>
      <c r="G103" s="44">
        <v>0</v>
      </c>
      <c r="H103" s="44" t="s">
        <v>50</v>
      </c>
      <c r="I103" s="45" t="s">
        <v>917</v>
      </c>
      <c r="K103" s="19" t="str">
        <f t="shared" si="3"/>
        <v>INSERT INTO `comm_constant` (`ID`,`CONSTANT_TYPE`,`CONSTANT_TYPE_NAME`,`CONSTANT_NAME`,`CONSTANT_VALUE`,`DEL_FLG`,`CRT_ID`,`CRT_TIME`,`UPD_ID`,`UPD_TIME`,`ACT_ID`,`ACT_TIME`,`VER`) VALUES ('99', 'HabitReceivePeriodType', '习惯收货时间段', '10:00-12:00', '3', '0', 'admin', now(), 'admin', now(), 'admin', now(), 1);</v>
      </c>
    </row>
    <row r="104" spans="2:11">
      <c r="B104" s="44">
        <f t="shared" si="0"/>
        <v>100</v>
      </c>
      <c r="C104" s="44" t="s">
        <v>1232</v>
      </c>
      <c r="D104" s="44" t="s">
        <v>1233</v>
      </c>
      <c r="E104" s="44" t="s">
        <v>1237</v>
      </c>
      <c r="F104" s="79">
        <v>4</v>
      </c>
      <c r="G104" s="44">
        <v>0</v>
      </c>
      <c r="H104" s="44" t="s">
        <v>50</v>
      </c>
      <c r="I104" s="45" t="s">
        <v>918</v>
      </c>
      <c r="K104" s="19" t="str">
        <f t="shared" si="3"/>
        <v>INSERT INTO `comm_constant` (`ID`,`CONSTANT_TYPE`,`CONSTANT_TYPE_NAME`,`CONSTANT_NAME`,`CONSTANT_VALUE`,`DEL_FLG`,`CRT_ID`,`CRT_TIME`,`UPD_ID`,`UPD_TIME`,`ACT_ID`,`ACT_TIME`,`VER`) VALUES ('100', 'HabitReceivePeriodType', '习惯收货时间段', '12:00-14:00', '4', '0', 'admin', now(), 'admin', now(), 'admin', now(), 1);</v>
      </c>
    </row>
    <row r="105" spans="2:11">
      <c r="B105" s="44">
        <f t="shared" si="0"/>
        <v>101</v>
      </c>
      <c r="C105" s="44" t="s">
        <v>1232</v>
      </c>
      <c r="D105" s="44" t="s">
        <v>1233</v>
      </c>
      <c r="E105" s="44" t="s">
        <v>1238</v>
      </c>
      <c r="F105" s="79">
        <v>5</v>
      </c>
      <c r="G105" s="44">
        <v>0</v>
      </c>
      <c r="H105" s="44" t="s">
        <v>50</v>
      </c>
      <c r="I105" s="45" t="s">
        <v>919</v>
      </c>
      <c r="K105" s="19" t="str">
        <f t="shared" si="3"/>
        <v>INSERT INTO `comm_constant` (`ID`,`CONSTANT_TYPE`,`CONSTANT_TYPE_NAME`,`CONSTANT_NAME`,`CONSTANT_VALUE`,`DEL_FLG`,`CRT_ID`,`CRT_TIME`,`UPD_ID`,`UPD_TIME`,`ACT_ID`,`ACT_TIME`,`VER`) VALUES ('101', 'HabitReceivePeriodType', '习惯收货时间段', '14:00-16:00', '5', '0', 'admin', now(), 'admin', now(), 'admin', now(), 1);</v>
      </c>
    </row>
    <row r="106" spans="2:11">
      <c r="B106" s="44">
        <f t="shared" si="0"/>
        <v>102</v>
      </c>
      <c r="C106" s="44" t="s">
        <v>1232</v>
      </c>
      <c r="D106" s="44" t="s">
        <v>1233</v>
      </c>
      <c r="E106" s="44" t="s">
        <v>1239</v>
      </c>
      <c r="F106" s="79">
        <v>6</v>
      </c>
      <c r="G106" s="44">
        <v>0</v>
      </c>
      <c r="H106" s="44" t="s">
        <v>50</v>
      </c>
      <c r="I106" s="45" t="s">
        <v>920</v>
      </c>
      <c r="K106" s="19" t="str">
        <f t="shared" si="3"/>
        <v>INSERT INTO `comm_constant` (`ID`,`CONSTANT_TYPE`,`CONSTANT_TYPE_NAME`,`CONSTANT_NAME`,`CONSTANT_VALUE`,`DEL_FLG`,`CRT_ID`,`CRT_TIME`,`UPD_ID`,`UPD_TIME`,`ACT_ID`,`ACT_TIME`,`VER`) VALUES ('102', 'HabitReceivePeriodType', '习惯收货时间段', '16:00-18:00', '6', '0', 'admin', now(), 'admin', now(), 'admin', now(), 1);</v>
      </c>
    </row>
    <row r="107" spans="2:11">
      <c r="B107" s="44">
        <f t="shared" si="0"/>
        <v>103</v>
      </c>
      <c r="C107" s="44" t="s">
        <v>1232</v>
      </c>
      <c r="D107" s="44" t="s">
        <v>1233</v>
      </c>
      <c r="E107" s="44" t="s">
        <v>1240</v>
      </c>
      <c r="F107" s="79">
        <v>7</v>
      </c>
      <c r="G107" s="44">
        <v>0</v>
      </c>
      <c r="H107" s="44" t="s">
        <v>50</v>
      </c>
      <c r="I107" s="45" t="s">
        <v>921</v>
      </c>
      <c r="K107" s="19" t="str">
        <f t="shared" si="3"/>
        <v>INSERT INTO `comm_constant` (`ID`,`CONSTANT_TYPE`,`CONSTANT_TYPE_NAME`,`CONSTANT_NAME`,`CONSTANT_VALUE`,`DEL_FLG`,`CRT_ID`,`CRT_TIME`,`UPD_ID`,`UPD_TIME`,`ACT_ID`,`ACT_TIME`,`VER`) VALUES ('103', 'HabitReceivePeriodType', '习惯收货时间段', '18:00-20:00', '7', '0', 'admin', now(), 'admin', now(), 'admin', now(), 1);</v>
      </c>
    </row>
    <row r="108" spans="2:11">
      <c r="B108" s="44">
        <f t="shared" si="0"/>
        <v>104</v>
      </c>
      <c r="C108" s="44" t="s">
        <v>1232</v>
      </c>
      <c r="D108" s="44" t="s">
        <v>1233</v>
      </c>
      <c r="E108" s="44" t="s">
        <v>1241</v>
      </c>
      <c r="F108" s="79">
        <v>8</v>
      </c>
      <c r="G108" s="44">
        <v>0</v>
      </c>
      <c r="H108" s="44" t="s">
        <v>50</v>
      </c>
      <c r="I108" s="45" t="s">
        <v>922</v>
      </c>
      <c r="K108" s="19" t="str">
        <f t="shared" si="3"/>
        <v>INSERT INTO `comm_constant` (`ID`,`CONSTANT_TYPE`,`CONSTANT_TYPE_NAME`,`CONSTANT_NAME`,`CONSTANT_VALUE`,`DEL_FLG`,`CRT_ID`,`CRT_TIME`,`UPD_ID`,`UPD_TIME`,`ACT_ID`,`ACT_TIME`,`VER`) VALUES ('104', 'HabitReceivePeriodType', '习惯收货时间段', '20:00-22:00', '8', '0', 'admin', now(), 'admin', now(), 'admin', now(), 1);</v>
      </c>
    </row>
    <row r="109" spans="2:11">
      <c r="B109" s="44">
        <f t="shared" si="0"/>
        <v>105</v>
      </c>
      <c r="C109" s="44" t="s">
        <v>1232</v>
      </c>
      <c r="D109" s="44" t="s">
        <v>1233</v>
      </c>
      <c r="E109" s="44" t="s">
        <v>1242</v>
      </c>
      <c r="F109" s="79">
        <v>9</v>
      </c>
      <c r="G109" s="44">
        <v>0</v>
      </c>
      <c r="H109" s="44" t="s">
        <v>50</v>
      </c>
      <c r="I109" s="45" t="s">
        <v>923</v>
      </c>
      <c r="K109" s="19" t="str">
        <f t="shared" si="3"/>
        <v>INSERT INTO `comm_constant` (`ID`,`CONSTANT_TYPE`,`CONSTANT_TYPE_NAME`,`CONSTANT_NAME`,`CONSTANT_VALUE`,`DEL_FLG`,`CRT_ID`,`CRT_TIME`,`UPD_ID`,`UPD_TIME`,`ACT_ID`,`ACT_TIME`,`VER`) VALUES ('105', 'HabitReceivePeriodType', '习惯收货时间段', '22:00-24:00', '9', '0', 'admin', now(), 'admin', now(), 'admin', now(), 1);</v>
      </c>
    </row>
    <row r="110" spans="2:11">
      <c r="B110" s="44">
        <f t="shared" si="0"/>
        <v>106</v>
      </c>
      <c r="C110" s="44" t="s">
        <v>1232</v>
      </c>
      <c r="D110" s="44" t="s">
        <v>1233</v>
      </c>
      <c r="E110" s="44" t="s">
        <v>1243</v>
      </c>
      <c r="F110" s="79">
        <v>10</v>
      </c>
      <c r="G110" s="44">
        <v>0</v>
      </c>
      <c r="H110" s="44" t="s">
        <v>50</v>
      </c>
      <c r="I110" s="45" t="s">
        <v>924</v>
      </c>
      <c r="K110" s="19" t="str">
        <f t="shared" si="3"/>
        <v>INSERT INTO `comm_constant` (`ID`,`CONSTANT_TYPE`,`CONSTANT_TYPE_NAME`,`CONSTANT_NAME`,`CONSTANT_VALUE`,`DEL_FLG`,`CRT_ID`,`CRT_TIME`,`UPD_ID`,`UPD_TIME`,`ACT_ID`,`ACT_TIME`,`VER`) VALUES ('106', 'HabitReceivePeriodType', '习惯收货时间段', '00:00-02:00', '10', '0', 'admin', now(), 'admin', now(), 'admin', now(), 1);</v>
      </c>
    </row>
    <row r="111" spans="2:11">
      <c r="B111" s="44">
        <f t="shared" si="0"/>
        <v>107</v>
      </c>
      <c r="C111" s="44" t="s">
        <v>1232</v>
      </c>
      <c r="D111" s="44" t="s">
        <v>1233</v>
      </c>
      <c r="E111" s="44" t="s">
        <v>1244</v>
      </c>
      <c r="F111" s="79">
        <v>11</v>
      </c>
      <c r="G111" s="44">
        <v>0</v>
      </c>
      <c r="H111" s="44" t="s">
        <v>50</v>
      </c>
      <c r="I111" s="45" t="s">
        <v>925</v>
      </c>
      <c r="K111" s="19" t="str">
        <f t="shared" si="3"/>
        <v>INSERT INTO `comm_constant` (`ID`,`CONSTANT_TYPE`,`CONSTANT_TYPE_NAME`,`CONSTANT_NAME`,`CONSTANT_VALUE`,`DEL_FLG`,`CRT_ID`,`CRT_TIME`,`UPD_ID`,`UPD_TIME`,`ACT_ID`,`ACT_TIME`,`VER`) VALUES ('107', 'HabitReceivePeriodType', '习惯收货时间段', '02:00-04:00', '11', '0', 'admin', now(), 'admin', now(), 'admin', now(), 1);</v>
      </c>
    </row>
    <row r="112" spans="2:11">
      <c r="B112" s="44">
        <f t="shared" si="0"/>
        <v>108</v>
      </c>
      <c r="C112" s="44" t="s">
        <v>1232</v>
      </c>
      <c r="D112" s="44" t="s">
        <v>1233</v>
      </c>
      <c r="E112" s="44" t="s">
        <v>1245</v>
      </c>
      <c r="F112" s="79">
        <v>12</v>
      </c>
      <c r="G112" s="44">
        <v>0</v>
      </c>
      <c r="H112" s="44" t="s">
        <v>50</v>
      </c>
      <c r="I112" s="45" t="s">
        <v>926</v>
      </c>
      <c r="K112" s="19" t="str">
        <f t="shared" si="3"/>
        <v>INSERT INTO `comm_constant` (`ID`,`CONSTANT_TYPE`,`CONSTANT_TYPE_NAME`,`CONSTANT_NAME`,`CONSTANT_VALUE`,`DEL_FLG`,`CRT_ID`,`CRT_TIME`,`UPD_ID`,`UPD_TIME`,`ACT_ID`,`ACT_TIME`,`VER`) VALUES ('108', 'HabitReceivePeriodType', '习惯收货时间段', '04:00-06:00', '12', '0', 'admin', now(), 'admin', now(), 'admin', now(), 1);</v>
      </c>
    </row>
    <row r="113" spans="2:11">
      <c r="B113" s="44">
        <f t="shared" si="0"/>
        <v>109</v>
      </c>
      <c r="C113" s="44" t="s">
        <v>1246</v>
      </c>
      <c r="D113" s="44" t="s">
        <v>1247</v>
      </c>
      <c r="E113" s="44" t="s">
        <v>1248</v>
      </c>
      <c r="F113" s="79">
        <v>1</v>
      </c>
      <c r="G113" s="44">
        <v>0</v>
      </c>
      <c r="H113" s="44" t="s">
        <v>50</v>
      </c>
      <c r="I113" s="45" t="s">
        <v>1249</v>
      </c>
      <c r="K113" s="19" t="str">
        <f t="shared" si="3"/>
        <v>INSERT INTO `comm_constant` (`ID`,`CONSTANT_TYPE`,`CONSTANT_TYPE_NAME`,`CONSTANT_NAME`,`CONSTANT_VALUE`,`DEL_FLG`,`CRT_ID`,`CRT_TIME`,`UPD_ID`,`UPD_TIME`,`ACT_ID`,`ACT_TIME`,`VER`) VALUES ('109', 'NTargetPdClasses', '非目标买家销售产品分类', '鲜肉产品', '1', '0', 'admin', now(), 'admin', now(), 'admin', now(), 1);</v>
      </c>
    </row>
    <row r="114" spans="2:11">
      <c r="B114" s="44">
        <f t="shared" si="0"/>
        <v>110</v>
      </c>
      <c r="C114" s="44" t="s">
        <v>1246</v>
      </c>
      <c r="D114" s="44" t="s">
        <v>1247</v>
      </c>
      <c r="E114" s="44" t="s">
        <v>1250</v>
      </c>
      <c r="F114" s="79">
        <v>2</v>
      </c>
      <c r="G114" s="44">
        <v>0</v>
      </c>
      <c r="H114" s="44" t="s">
        <v>50</v>
      </c>
      <c r="I114" s="45" t="s">
        <v>1251</v>
      </c>
      <c r="K114" s="19" t="str">
        <f t="shared" si="3"/>
        <v>INSERT INTO `comm_constant` (`ID`,`CONSTANT_TYPE`,`CONSTANT_TYPE_NAME`,`CONSTANT_NAME`,`CONSTANT_VALUE`,`DEL_FLG`,`CRT_ID`,`CRT_TIME`,`UPD_ID`,`UPD_TIME`,`ACT_ID`,`ACT_TIME`,`VER`) VALUES ('110', 'NTargetPdClasses', '非目标买家销售产品分类', '鲜鱼产品', '2', '0', 'admin', now(), 'admin', now(), 'admin', now(), 1);</v>
      </c>
    </row>
    <row r="115" spans="2:11">
      <c r="B115" s="44">
        <f t="shared" si="0"/>
        <v>111</v>
      </c>
      <c r="C115" s="44" t="s">
        <v>1246</v>
      </c>
      <c r="D115" s="44" t="s">
        <v>1247</v>
      </c>
      <c r="E115" s="44" t="s">
        <v>1252</v>
      </c>
      <c r="F115" s="79">
        <v>3</v>
      </c>
      <c r="G115" s="44">
        <v>0</v>
      </c>
      <c r="H115" s="44" t="s">
        <v>50</v>
      </c>
      <c r="I115" s="45" t="s">
        <v>1253</v>
      </c>
      <c r="K115" s="19" t="str">
        <f t="shared" si="3"/>
        <v>INSERT INTO `comm_constant` (`ID`,`CONSTANT_TYPE`,`CONSTANT_TYPE_NAME`,`CONSTANT_NAME`,`CONSTANT_VALUE`,`DEL_FLG`,`CRT_ID`,`CRT_TIME`,`UPD_ID`,`UPD_TIME`,`ACT_ID`,`ACT_TIME`,`VER`) VALUES ('111', 'NTargetPdClasses', '非目标买家销售产品分类', '活禽产品', '3', '0', 'admin', now(), 'admin', now(), 'admin', now(), 1);</v>
      </c>
    </row>
    <row r="116" spans="2:11">
      <c r="B116" s="44">
        <f t="shared" si="0"/>
        <v>112</v>
      </c>
      <c r="C116" s="44" t="s">
        <v>1246</v>
      </c>
      <c r="D116" s="44" t="s">
        <v>1247</v>
      </c>
      <c r="E116" s="44" t="s">
        <v>1254</v>
      </c>
      <c r="F116" s="79">
        <v>4</v>
      </c>
      <c r="G116" s="44">
        <v>0</v>
      </c>
      <c r="H116" s="44" t="s">
        <v>50</v>
      </c>
      <c r="I116" s="45" t="s">
        <v>1255</v>
      </c>
      <c r="K116" s="19" t="str">
        <f t="shared" si="3"/>
        <v>INSERT INTO `comm_constant` (`ID`,`CONSTANT_TYPE`,`CONSTANT_TYPE_NAME`,`CONSTANT_NAME`,`CONSTANT_VALUE`,`DEL_FLG`,`CRT_ID`,`CRT_TIME`,`UPD_ID`,`UPD_TIME`,`ACT_ID`,`ACT_TIME`,`VER`) VALUES ('112', 'NTargetPdClasses', '非目标买家销售产品分类', '禽蛋产品', '4', '0', 'admin', now(), 'admin', now(), 'admin', now(), 1);</v>
      </c>
    </row>
    <row r="117" spans="2:11">
      <c r="B117" s="44">
        <f t="shared" si="0"/>
        <v>113</v>
      </c>
      <c r="C117" s="44" t="s">
        <v>1246</v>
      </c>
      <c r="D117" s="44" t="s">
        <v>1247</v>
      </c>
      <c r="E117" s="44" t="s">
        <v>1256</v>
      </c>
      <c r="F117" s="79">
        <v>5</v>
      </c>
      <c r="G117" s="44">
        <v>0</v>
      </c>
      <c r="H117" s="44" t="s">
        <v>50</v>
      </c>
      <c r="I117" s="45" t="s">
        <v>1257</v>
      </c>
      <c r="K117" s="19" t="str">
        <f t="shared" si="3"/>
        <v>INSERT INTO `comm_constant` (`ID`,`CONSTANT_TYPE`,`CONSTANT_TYPE_NAME`,`CONSTANT_NAME`,`CONSTANT_VALUE`,`DEL_FLG`,`CRT_ID`,`CRT_TIME`,`UPD_ID`,`UPD_TIME`,`ACT_ID`,`ACT_TIME`,`VER`) VALUES ('113', 'NTargetPdClasses', '非目标买家销售产品分类', '果蔬产品', '5', '0', 'admin', now(), 'admin', now(), 'admin', now(), 1);</v>
      </c>
    </row>
    <row r="118" spans="2:11">
      <c r="B118" s="44">
        <f t="shared" si="0"/>
        <v>114</v>
      </c>
      <c r="C118" s="44" t="s">
        <v>1246</v>
      </c>
      <c r="D118" s="44" t="s">
        <v>1247</v>
      </c>
      <c r="E118" s="44" t="s">
        <v>1258</v>
      </c>
      <c r="F118" s="79">
        <v>6</v>
      </c>
      <c r="G118" s="44">
        <v>0</v>
      </c>
      <c r="H118" s="44" t="s">
        <v>50</v>
      </c>
      <c r="I118" s="45" t="s">
        <v>1259</v>
      </c>
      <c r="K118" s="19" t="str">
        <f t="shared" si="3"/>
        <v>INSERT INTO `comm_constant` (`ID`,`CONSTANT_TYPE`,`CONSTANT_TYPE_NAME`,`CONSTANT_NAME`,`CONSTANT_VALUE`,`DEL_FLG`,`CRT_ID`,`CRT_TIME`,`UPD_ID`,`UPD_TIME`,`ACT_ID`,`ACT_TIME`,`VER`) VALUES ('114', 'NTargetPdClasses', '非目标买家销售产品分类', '豆制品', '6', '0', 'admin', now(), 'admin', now(), 'admin', now(), 1);</v>
      </c>
    </row>
    <row r="119" spans="2:11">
      <c r="B119" s="44">
        <f t="shared" si="0"/>
        <v>115</v>
      </c>
      <c r="C119" s="44" t="s">
        <v>1246</v>
      </c>
      <c r="D119" s="44" t="s">
        <v>1247</v>
      </c>
      <c r="E119" s="44" t="s">
        <v>1260</v>
      </c>
      <c r="F119" s="79">
        <v>7</v>
      </c>
      <c r="G119" s="44">
        <v>0</v>
      </c>
      <c r="H119" s="44" t="s">
        <v>50</v>
      </c>
      <c r="I119" s="45" t="s">
        <v>1261</v>
      </c>
      <c r="K119" s="19" t="str">
        <f t="shared" si="3"/>
        <v>INSERT INTO `comm_constant` (`ID`,`CONSTANT_TYPE`,`CONSTANT_TYPE_NAME`,`CONSTANT_NAME`,`CONSTANT_VALUE`,`DEL_FLG`,`CRT_ID`,`CRT_TIME`,`UPD_ID`,`UPD_TIME`,`ACT_ID`,`ACT_TIME`,`VER`) VALUES ('115', 'NTargetPdClasses', '非目标买家销售产品分类', '其它食品', '7', '0', 'admin', now(), 'admin', now(), 'admin', now(), 1);</v>
      </c>
    </row>
    <row r="120" spans="2:11">
      <c r="B120" s="44">
        <f t="shared" si="0"/>
        <v>116</v>
      </c>
      <c r="C120" s="44" t="s">
        <v>1246</v>
      </c>
      <c r="D120" s="44" t="s">
        <v>1247</v>
      </c>
      <c r="E120" s="44" t="s">
        <v>1262</v>
      </c>
      <c r="F120" s="79">
        <v>8</v>
      </c>
      <c r="G120" s="44">
        <v>0</v>
      </c>
      <c r="H120" s="44" t="s">
        <v>50</v>
      </c>
      <c r="I120" s="45" t="s">
        <v>1263</v>
      </c>
      <c r="K120" s="19" t="str">
        <f t="shared" si="3"/>
        <v>INSERT INTO `comm_constant` (`ID`,`CONSTANT_TYPE`,`CONSTANT_TYPE_NAME`,`CONSTANT_NAME`,`CONSTANT_VALUE`,`DEL_FLG`,`CRT_ID`,`CRT_TIME`,`UPD_ID`,`UPD_TIME`,`ACT_ID`,`ACT_TIME`,`VER`) VALUES ('116', 'NTargetPdClasses', '非目标买家销售产品分类', '非食品', '8', '0', 'admin', now(), 'admin', now(), 'admin', now(), 1);</v>
      </c>
    </row>
    <row r="121" spans="2:11">
      <c r="B121" s="44">
        <f t="shared" si="0"/>
        <v>117</v>
      </c>
      <c r="C121" s="44" t="s">
        <v>1264</v>
      </c>
      <c r="D121" s="44" t="s">
        <v>1265</v>
      </c>
      <c r="E121" s="44" t="s">
        <v>1266</v>
      </c>
      <c r="F121" s="79">
        <v>1</v>
      </c>
      <c r="G121" s="44">
        <v>0</v>
      </c>
      <c r="H121" s="44" t="s">
        <v>50</v>
      </c>
      <c r="I121" s="45" t="s">
        <v>1267</v>
      </c>
      <c r="K121" s="19" t="str">
        <f t="shared" si="3"/>
        <v>INSERT INTO `comm_constant` (`ID`,`CONSTANT_TYPE`,`CONSTANT_TYPE_NAME`,`CONSTANT_NAME`,`CONSTANT_VALUE`,`DEL_FLG`,`CRT_ID`,`CRT_TIME`,`UPD_ID`,`UPD_TIME`,`ACT_ID`,`ACT_TIME`,`VER`) VALUES ('117', 'MarketingTool', '买家有效营销工具', '电话', '1', '0', 'admin', now(), 'admin', now(), 'admin', now(), 1);</v>
      </c>
    </row>
    <row r="122" spans="2:11">
      <c r="B122" s="44">
        <f t="shared" si="0"/>
        <v>118</v>
      </c>
      <c r="C122" s="44" t="s">
        <v>1264</v>
      </c>
      <c r="D122" s="44" t="s">
        <v>1265</v>
      </c>
      <c r="E122" s="44" t="s">
        <v>1268</v>
      </c>
      <c r="F122" s="79">
        <v>2</v>
      </c>
      <c r="G122" s="44">
        <v>0</v>
      </c>
      <c r="H122" s="44" t="s">
        <v>50</v>
      </c>
      <c r="I122" s="45" t="s">
        <v>1269</v>
      </c>
      <c r="K122" s="19" t="str">
        <f t="shared" si="3"/>
        <v>INSERT INTO `comm_constant` (`ID`,`CONSTANT_TYPE`,`CONSTANT_TYPE_NAME`,`CONSTANT_NAME`,`CONSTANT_VALUE`,`DEL_FLG`,`CRT_ID`,`CRT_TIME`,`UPD_ID`,`UPD_TIME`,`ACT_ID`,`ACT_TIME`,`VER`) VALUES ('118', 'MarketingTool', '买家有效营销工具', '微信', '2', '0', 'admin', now(), 'admin', now(), 'admin', now(), 1);</v>
      </c>
    </row>
    <row r="123" spans="2:11">
      <c r="B123" s="44">
        <f t="shared" si="0"/>
        <v>119</v>
      </c>
      <c r="C123" s="44" t="s">
        <v>1264</v>
      </c>
      <c r="D123" s="44" t="s">
        <v>1265</v>
      </c>
      <c r="E123" s="44" t="s">
        <v>1270</v>
      </c>
      <c r="F123" s="79">
        <v>3</v>
      </c>
      <c r="G123" s="44">
        <v>0</v>
      </c>
      <c r="H123" s="44" t="s">
        <v>50</v>
      </c>
      <c r="I123" s="45" t="s">
        <v>1271</v>
      </c>
      <c r="K123" s="19" t="str">
        <f t="shared" si="3"/>
        <v>INSERT INTO `comm_constant` (`ID`,`CONSTANT_TYPE`,`CONSTANT_TYPE_NAME`,`CONSTANT_NAME`,`CONSTANT_VALUE`,`DEL_FLG`,`CRT_ID`,`CRT_TIME`,`UPD_ID`,`UPD_TIME`,`ACT_ID`,`ACT_TIME`,`VER`) VALUES ('119', 'MarketingTool', '买家有效营销工具', 'QQ', '3', '0', 'admin', now(), 'admin', now(), 'admin', now(), 1);</v>
      </c>
    </row>
    <row r="124" spans="2:11">
      <c r="B124" s="44">
        <f t="shared" si="0"/>
        <v>120</v>
      </c>
      <c r="C124" s="44" t="s">
        <v>1272</v>
      </c>
      <c r="D124" s="44" t="s">
        <v>1273</v>
      </c>
      <c r="E124" s="44" t="s">
        <v>1274</v>
      </c>
      <c r="F124" s="79">
        <v>0</v>
      </c>
      <c r="G124" s="44">
        <v>0</v>
      </c>
      <c r="H124" s="44" t="s">
        <v>50</v>
      </c>
      <c r="I124" s="45" t="s">
        <v>1275</v>
      </c>
      <c r="K124" s="19" t="str">
        <f t="shared" si="3"/>
        <v>INSERT INTO `comm_constant` (`ID`,`CONSTANT_TYPE`,`CONSTANT_TYPE_NAME`,`CONSTANT_NAME`,`CONSTANT_VALUE`,`DEL_FLG`,`CRT_ID`,`CRT_TIME`,`UPD_ID`,`UPD_TIME`,`ACT_ID`,`ACT_TIME`,`VER`) VALUES ('120', 'FileStatus', '文件状态', '未生成', '0', '0', 'admin', now(), 'admin', now(), 'admin', now(), 1);</v>
      </c>
    </row>
    <row r="125" spans="2:11">
      <c r="B125" s="44">
        <f t="shared" si="0"/>
        <v>121</v>
      </c>
      <c r="C125" s="44" t="s">
        <v>1272</v>
      </c>
      <c r="D125" s="44" t="s">
        <v>1273</v>
      </c>
      <c r="E125" s="44" t="s">
        <v>1276</v>
      </c>
      <c r="F125" s="79">
        <v>1</v>
      </c>
      <c r="G125" s="44">
        <v>0</v>
      </c>
      <c r="H125" s="44" t="s">
        <v>50</v>
      </c>
      <c r="I125" s="45" t="s">
        <v>1277</v>
      </c>
      <c r="K125" s="19" t="str">
        <f t="shared" si="3"/>
        <v>INSERT INTO `comm_constant` (`ID`,`CONSTANT_TYPE`,`CONSTANT_TYPE_NAME`,`CONSTANT_NAME`,`CONSTANT_VALUE`,`DEL_FLG`,`CRT_ID`,`CRT_TIME`,`UPD_ID`,`UPD_TIME`,`ACT_ID`,`ACT_TIME`,`VER`) VALUES ('121', 'FileStatus', '文件状态', '已生成', '1', '0', 'admin', now(), 'admin', now(), 'admin', now(), 1);</v>
      </c>
    </row>
    <row r="126" spans="2:11">
      <c r="B126" s="44">
        <f t="shared" si="0"/>
        <v>122</v>
      </c>
      <c r="C126" s="44" t="s">
        <v>1272</v>
      </c>
      <c r="D126" s="44" t="s">
        <v>1273</v>
      </c>
      <c r="E126" s="44" t="s">
        <v>1278</v>
      </c>
      <c r="F126" s="79">
        <v>2</v>
      </c>
      <c r="G126" s="44">
        <v>0</v>
      </c>
      <c r="H126" s="44" t="s">
        <v>50</v>
      </c>
      <c r="I126" s="45" t="s">
        <v>1279</v>
      </c>
      <c r="K126" s="19" t="str">
        <f t="shared" si="3"/>
        <v>INSERT INTO `comm_constant` (`ID`,`CONSTANT_TYPE`,`CONSTANT_TYPE_NAME`,`CONSTANT_NAME`,`CONSTANT_VALUE`,`DEL_FLG`,`CRT_ID`,`CRT_TIME`,`UPD_ID`,`UPD_TIME`,`ACT_ID`,`ACT_TIME`,`VER`) VALUES ('122', 'FileStatus', '文件状态', '生成中', '2', '0', 'admin', now(), 'admin', now(), 'admin', now(), 1);</v>
      </c>
    </row>
    <row r="127" spans="2:11">
      <c r="B127" s="44">
        <f t="shared" si="0"/>
        <v>123</v>
      </c>
      <c r="C127" s="44" t="s">
        <v>1272</v>
      </c>
      <c r="D127" s="44" t="s">
        <v>1273</v>
      </c>
      <c r="E127" s="44" t="s">
        <v>1280</v>
      </c>
      <c r="F127" s="79">
        <v>3</v>
      </c>
      <c r="G127" s="44">
        <v>0</v>
      </c>
      <c r="H127" s="44" t="s">
        <v>50</v>
      </c>
      <c r="I127" s="45"/>
      <c r="K127" s="19" t="str">
        <f t="shared" si="3"/>
        <v>INSERT INTO `comm_constant` (`ID`,`CONSTANT_TYPE`,`CONSTANT_TYPE_NAME`,`CONSTANT_NAME`,`CONSTANT_VALUE`,`DEL_FLG`,`CRT_ID`,`CRT_TIME`,`UPD_ID`,`UPD_TIME`,`ACT_ID`,`ACT_TIME`,`VER`) VALUES ('123', 'FileStatus', '文件状态', '生成失败', '3', '0', 'admin', now(), 'admin', now(), 'admin', now(), 1);</v>
      </c>
    </row>
    <row r="128" spans="2:11">
      <c r="B128" s="44">
        <f t="shared" si="0"/>
        <v>124</v>
      </c>
      <c r="C128" s="44" t="s">
        <v>1281</v>
      </c>
      <c r="D128" s="44" t="s">
        <v>1282</v>
      </c>
      <c r="E128" s="44" t="s">
        <v>1283</v>
      </c>
      <c r="F128" s="79">
        <v>1</v>
      </c>
      <c r="G128" s="44">
        <v>0</v>
      </c>
      <c r="H128" s="44" t="s">
        <v>50</v>
      </c>
      <c r="I128" s="45" t="s">
        <v>1284</v>
      </c>
      <c r="K128" s="19" t="str">
        <f t="shared" si="3"/>
        <v>INSERT INTO `comm_constant` (`ID`,`CONSTANT_TYPE`,`CONSTANT_TYPE_NAME`,`CONSTANT_NAME`,`CONSTANT_VALUE`,`DEL_FLG`,`CRT_ID`,`CRT_TIME`,`UPD_ID`,`UPD_TIME`,`ACT_ID`,`ACT_TIME`,`VER`) VALUES ('124', 'CurrentPeriod', '本期', '本半旬', '1', '0', 'admin', now(), 'admin', now(), 'admin', now(), 1);</v>
      </c>
    </row>
    <row r="129" spans="2:11">
      <c r="B129" s="44">
        <f t="shared" si="0"/>
        <v>125</v>
      </c>
      <c r="C129" s="44" t="s">
        <v>1281</v>
      </c>
      <c r="D129" s="44" t="s">
        <v>1282</v>
      </c>
      <c r="E129" s="44" t="s">
        <v>1285</v>
      </c>
      <c r="F129" s="79">
        <v>2</v>
      </c>
      <c r="G129" s="44">
        <v>0</v>
      </c>
      <c r="H129" s="44" t="s">
        <v>50</v>
      </c>
      <c r="I129" s="45" t="s">
        <v>1286</v>
      </c>
      <c r="K129" s="19" t="str">
        <f t="shared" si="3"/>
        <v>INSERT INTO `comm_constant` (`ID`,`CONSTANT_TYPE`,`CONSTANT_TYPE_NAME`,`CONSTANT_NAME`,`CONSTANT_VALUE`,`DEL_FLG`,`CRT_ID`,`CRT_TIME`,`UPD_ID`,`UPD_TIME`,`ACT_ID`,`ACT_TIME`,`VER`) VALUES ('125', 'CurrentPeriod', '本期', '本旬', '2', '0', 'admin', now(), 'admin', now(), 'admin', now(), 1);</v>
      </c>
    </row>
    <row r="130" spans="2:11">
      <c r="B130" s="44">
        <f t="shared" si="0"/>
        <v>126</v>
      </c>
      <c r="C130" s="44" t="s">
        <v>1281</v>
      </c>
      <c r="D130" s="44" t="s">
        <v>1282</v>
      </c>
      <c r="E130" s="44" t="s">
        <v>1287</v>
      </c>
      <c r="F130" s="79">
        <v>3</v>
      </c>
      <c r="G130" s="44">
        <v>0</v>
      </c>
      <c r="H130" s="44" t="s">
        <v>50</v>
      </c>
      <c r="I130" s="45" t="s">
        <v>1288</v>
      </c>
      <c r="K130" s="19" t="str">
        <f t="shared" si="3"/>
        <v>INSERT INTO `comm_constant` (`ID`,`CONSTANT_TYPE`,`CONSTANT_TYPE_NAME`,`CONSTANT_NAME`,`CONSTANT_VALUE`,`DEL_FLG`,`CRT_ID`,`CRT_TIME`,`UPD_ID`,`UPD_TIME`,`ACT_ID`,`ACT_TIME`,`VER`) VALUES ('126', 'CurrentPeriod', '本期', '本月', '3', '0', 'admin', now(), 'admin', now(), 'admin', now(), 1);</v>
      </c>
    </row>
    <row r="131" spans="2:11">
      <c r="B131" s="44">
        <f t="shared" si="0"/>
        <v>127</v>
      </c>
      <c r="C131" s="44" t="s">
        <v>1289</v>
      </c>
      <c r="D131" s="44" t="s">
        <v>1290</v>
      </c>
      <c r="E131" s="44" t="s">
        <v>1291</v>
      </c>
      <c r="F131" s="79">
        <v>1</v>
      </c>
      <c r="G131" s="44">
        <v>0</v>
      </c>
      <c r="H131" s="44" t="s">
        <v>50</v>
      </c>
      <c r="I131" s="45" t="s">
        <v>1292</v>
      </c>
      <c r="K131" s="19" t="str">
        <f t="shared" si="3"/>
        <v>INSERT INTO `comm_constant` (`ID`,`CONSTANT_TYPE`,`CONSTANT_TYPE_NAME`,`CONSTANT_NAME`,`CONSTANT_VALUE`,`DEL_FLG`,`CRT_ID`,`CRT_TIME`,`UPD_ID`,`UPD_TIME`,`ACT_ID`,`ACT_TIME`,`VER`) VALUES ('127', 'ShOrderDeliveryArea', '上海订单配送区域', '内环以内', '1', '0', 'admin', now(), 'admin', now(), 'admin', now(), 1);</v>
      </c>
    </row>
    <row r="132" spans="2:11">
      <c r="B132" s="44">
        <f t="shared" si="0"/>
        <v>128</v>
      </c>
      <c r="C132" s="44" t="s">
        <v>1289</v>
      </c>
      <c r="D132" s="44" t="s">
        <v>1290</v>
      </c>
      <c r="E132" s="44" t="s">
        <v>1293</v>
      </c>
      <c r="F132" s="79">
        <v>2</v>
      </c>
      <c r="G132" s="44">
        <v>0</v>
      </c>
      <c r="H132" s="44" t="s">
        <v>50</v>
      </c>
      <c r="I132" s="45" t="s">
        <v>1294</v>
      </c>
      <c r="K132" s="19" t="str">
        <f t="shared" si="3"/>
        <v>INSERT INTO `comm_constant` (`ID`,`CONSTANT_TYPE`,`CONSTANT_TYPE_NAME`,`CONSTANT_NAME`,`CONSTANT_VALUE`,`DEL_FLG`,`CRT_ID`,`CRT_TIME`,`UPD_ID`,`UPD_TIME`,`ACT_ID`,`ACT_TIME`,`VER`) VALUES ('128', 'ShOrderDeliveryArea', '上海订单配送区域', '内环与中环间', '2', '0', 'admin', now(), 'admin', now(), 'admin', now(), 1);</v>
      </c>
    </row>
    <row r="133" spans="2:11">
      <c r="B133" s="44">
        <f t="shared" si="0"/>
        <v>129</v>
      </c>
      <c r="C133" s="44" t="s">
        <v>1289</v>
      </c>
      <c r="D133" s="44" t="s">
        <v>1290</v>
      </c>
      <c r="E133" s="44" t="s">
        <v>1295</v>
      </c>
      <c r="F133" s="79">
        <v>3</v>
      </c>
      <c r="G133" s="44">
        <v>0</v>
      </c>
      <c r="H133" s="44" t="s">
        <v>50</v>
      </c>
      <c r="I133" s="45" t="s">
        <v>1296</v>
      </c>
      <c r="K133" s="19" t="str">
        <f t="shared" si="3"/>
        <v>INSERT INTO `comm_constant` (`ID`,`CONSTANT_TYPE`,`CONSTANT_TYPE_NAME`,`CONSTANT_NAME`,`CONSTANT_VALUE`,`DEL_FLG`,`CRT_ID`,`CRT_TIME`,`UPD_ID`,`UPD_TIME`,`ACT_ID`,`ACT_TIME`,`VER`) VALUES ('129', 'ShOrderDeliveryArea', '上海订单配送区域', '中环与外环间', '3', '0', 'admin', now(), 'admin', now(), 'admin', now(), 1);</v>
      </c>
    </row>
    <row r="134" spans="2:11">
      <c r="B134" s="44">
        <f t="shared" si="0"/>
        <v>130</v>
      </c>
      <c r="C134" s="44" t="s">
        <v>1289</v>
      </c>
      <c r="D134" s="44" t="s">
        <v>1290</v>
      </c>
      <c r="E134" s="44" t="s">
        <v>1297</v>
      </c>
      <c r="F134" s="79">
        <v>4</v>
      </c>
      <c r="G134" s="44">
        <v>0</v>
      </c>
      <c r="H134" s="44" t="s">
        <v>50</v>
      </c>
      <c r="I134" s="45" t="s">
        <v>1298</v>
      </c>
      <c r="K134" s="19" t="str">
        <f t="shared" ref="K134:K197" si="4">"INSERT INTO `comm_constant` (`ID`,`CONSTANT_TYPE`,`CONSTANT_TYPE_NAME`,`CONSTANT_NAME`,`CONSTANT_VALUE`,`DEL_FLG`,`CRT_ID`,`CRT_TIME`,`UPD_ID`,`UPD_TIME`,`ACT_ID`,`ACT_TIME`,`VER`) VALUES ("&amp;IF(B134="","NULL","'"&amp;B134&amp;"'")&amp;", "&amp;IF(C134="","NULL","'"&amp;C134&amp;"'")&amp;", "&amp;IF(D134="","NULL","'"&amp;D134&amp;"'")&amp;", "&amp;IF(E134="","NULL","'"&amp;E134&amp;"'")&amp;", "&amp;IF(F134="","NULL","'"&amp;F134&amp;"'")&amp;", "&amp;IF(G134="","NULL","'"&amp;G134&amp;"'")&amp;", 'admin', now(), 'admin', now(), 'admin', now(), 1);"</f>
        <v>INSERT INTO `comm_constant` (`ID`,`CONSTANT_TYPE`,`CONSTANT_TYPE_NAME`,`CONSTANT_NAME`,`CONSTANT_VALUE`,`DEL_FLG`,`CRT_ID`,`CRT_TIME`,`UPD_ID`,`UPD_TIME`,`ACT_ID`,`ACT_TIME`,`VER`) VALUES ('130', 'ShOrderDeliveryArea', '上海订单配送区域', '外环以外', '4', '0', 'admin', now(), 'admin', now(), 'admin', now(), 1);</v>
      </c>
    </row>
    <row r="135" spans="2:11">
      <c r="B135" s="44">
        <f t="shared" si="2"/>
        <v>131</v>
      </c>
      <c r="C135" s="44" t="s">
        <v>1299</v>
      </c>
      <c r="D135" s="44" t="s">
        <v>1300</v>
      </c>
      <c r="E135" s="44" t="s">
        <v>1301</v>
      </c>
      <c r="F135" s="67">
        <v>1</v>
      </c>
      <c r="G135" s="44">
        <v>0</v>
      </c>
      <c r="H135" s="44" t="s">
        <v>50</v>
      </c>
      <c r="I135" s="44" t="s">
        <v>1302</v>
      </c>
      <c r="K135" s="19" t="str">
        <f t="shared" si="4"/>
        <v>INSERT INTO `comm_constant` (`ID`,`CONSTANT_TYPE`,`CONSTANT_TYPE_NAME`,`CONSTANT_NAME`,`CONSTANT_VALUE`,`DEL_FLG`,`CRT_ID`,`CRT_TIME`,`UPD_ID`,`UPD_TIME`,`ACT_ID`,`ACT_TIME`,`VER`) VALUES ('131', 'SettingType', '配置类型', '需求等级', '1', '0', 'admin', now(), 'admin', now(), 'admin', now(), 1);</v>
      </c>
    </row>
    <row r="136" spans="2:11">
      <c r="B136" s="44">
        <f t="shared" si="2"/>
        <v>132</v>
      </c>
      <c r="C136" s="62" t="s">
        <v>952</v>
      </c>
      <c r="D136" s="44" t="s">
        <v>947</v>
      </c>
      <c r="E136" s="44" t="s">
        <v>278</v>
      </c>
      <c r="F136" s="67" t="s">
        <v>981</v>
      </c>
      <c r="G136" s="44">
        <v>0</v>
      </c>
      <c r="H136" s="44" t="s">
        <v>50</v>
      </c>
      <c r="I136" s="44"/>
      <c r="K136" s="19" t="str">
        <f t="shared" si="4"/>
        <v>INSERT INTO `comm_constant` (`ID`,`CONSTANT_TYPE`,`CONSTANT_TYPE_NAME`,`CONSTANT_NAME`,`CONSTANT_VALUE`,`DEL_FLG`,`CRT_ID`,`CRT_TIME`,`UPD_ID`,`UPD_TIME`,`ACT_ID`,`ACT_TIME`,`VER`) VALUES ('132', 'BuyerType', '买家类型前台用', '分销买家', '01', '0', 'admin', now(), 'admin', now(), 'admin', now(), 1);</v>
      </c>
    </row>
    <row r="137" spans="2:11">
      <c r="B137" s="44">
        <f t="shared" si="2"/>
        <v>133</v>
      </c>
      <c r="C137" s="62" t="s">
        <v>946</v>
      </c>
      <c r="D137" s="44" t="s">
        <v>947</v>
      </c>
      <c r="E137" s="44" t="s">
        <v>280</v>
      </c>
      <c r="F137" s="67" t="s">
        <v>984</v>
      </c>
      <c r="G137" s="44">
        <v>0</v>
      </c>
      <c r="H137" s="44" t="s">
        <v>50</v>
      </c>
      <c r="I137" s="44"/>
      <c r="K137" s="19" t="str">
        <f t="shared" si="4"/>
        <v>INSERT INTO `comm_constant` (`ID`,`CONSTANT_TYPE`,`CONSTANT_TYPE_NAME`,`CONSTANT_NAME`,`CONSTANT_VALUE`,`DEL_FLG`,`CRT_ID`,`CRT_TIME`,`UPD_ID`,`UPD_TIME`,`ACT_ID`,`ACT_TIME`,`VER`) VALUES ('133', 'BuyerType', '买家类型前台用', '菜场买家', '02', '0', 'admin', now(), 'admin', now(), 'admin', now(), 1);</v>
      </c>
    </row>
    <row r="138" spans="2:11">
      <c r="B138" s="44">
        <f t="shared" si="2"/>
        <v>134</v>
      </c>
      <c r="C138" s="62" t="s">
        <v>946</v>
      </c>
      <c r="D138" s="44" t="s">
        <v>947</v>
      </c>
      <c r="E138" s="44" t="s">
        <v>282</v>
      </c>
      <c r="F138" s="67" t="s">
        <v>1303</v>
      </c>
      <c r="G138" s="44">
        <v>0</v>
      </c>
      <c r="H138" s="44" t="s">
        <v>50</v>
      </c>
      <c r="I138" s="44"/>
      <c r="K138" s="19" t="str">
        <f t="shared" si="4"/>
        <v>INSERT INTO `comm_constant` (`ID`,`CONSTANT_TYPE`,`CONSTANT_TYPE_NAME`,`CONSTANT_NAME`,`CONSTANT_VALUE`,`DEL_FLG`,`CRT_ID`,`CRT_TIME`,`UPD_ID`,`UPD_TIME`,`ACT_ID`,`ACT_TIME`,`VER`) VALUES ('134', 'BuyerType', '买家类型前台用', '团膳买家', '03', '0', 'admin', now(), 'admin', now(), 'admin', now(), 1);</v>
      </c>
    </row>
    <row r="139" spans="2:11">
      <c r="B139" s="44">
        <f t="shared" si="2"/>
        <v>135</v>
      </c>
      <c r="C139" s="62" t="s">
        <v>946</v>
      </c>
      <c r="D139" s="44" t="s">
        <v>947</v>
      </c>
      <c r="E139" s="44" t="s">
        <v>284</v>
      </c>
      <c r="F139" s="67" t="s">
        <v>1304</v>
      </c>
      <c r="G139" s="44">
        <v>0</v>
      </c>
      <c r="H139" s="44" t="s">
        <v>50</v>
      </c>
      <c r="I139" s="44"/>
      <c r="K139" s="19" t="str">
        <f t="shared" si="4"/>
        <v>INSERT INTO `comm_constant` (`ID`,`CONSTANT_TYPE`,`CONSTANT_TYPE_NAME`,`CONSTANT_NAME`,`CONSTANT_VALUE`,`DEL_FLG`,`CRT_ID`,`CRT_TIME`,`UPD_ID`,`UPD_TIME`,`ACT_ID`,`ACT_TIME`,`VER`) VALUES ('135', 'BuyerType', '买家类型前台用', '火锅买家', '04', '0', 'admin', now(), 'admin', now(), 'admin', now(), 1);</v>
      </c>
    </row>
    <row r="140" spans="2:11">
      <c r="B140" s="44">
        <f t="shared" si="2"/>
        <v>136</v>
      </c>
      <c r="C140" s="62" t="s">
        <v>946</v>
      </c>
      <c r="D140" s="44" t="s">
        <v>947</v>
      </c>
      <c r="E140" s="44" t="s">
        <v>948</v>
      </c>
      <c r="F140" s="67" t="s">
        <v>1305</v>
      </c>
      <c r="G140" s="44">
        <v>0</v>
      </c>
      <c r="H140" s="44" t="s">
        <v>50</v>
      </c>
      <c r="I140" s="44"/>
      <c r="K140" s="19" t="str">
        <f t="shared" si="4"/>
        <v>INSERT INTO `comm_constant` (`ID`,`CONSTANT_TYPE`,`CONSTANT_TYPE_NAME`,`CONSTANT_NAME`,`CONSTANT_VALUE`,`DEL_FLG`,`CRT_ID`,`CRT_TIME`,`UPD_ID`,`UPD_TIME`,`ACT_ID`,`ACT_TIME`,`VER`) VALUES ('136', 'BuyerType', '买家类型前台用', '卤味熟食', '0501', '0', 'admin', now(), 'admin', now(), 'admin', now(), 1);</v>
      </c>
    </row>
    <row r="141" spans="2:11">
      <c r="B141" s="44">
        <f t="shared" si="2"/>
        <v>137</v>
      </c>
      <c r="C141" s="62" t="s">
        <v>946</v>
      </c>
      <c r="D141" s="44" t="s">
        <v>947</v>
      </c>
      <c r="E141" s="44" t="s">
        <v>949</v>
      </c>
      <c r="F141" s="67" t="s">
        <v>1306</v>
      </c>
      <c r="G141" s="44">
        <v>0</v>
      </c>
      <c r="H141" s="44" t="s">
        <v>50</v>
      </c>
      <c r="I141" s="44"/>
      <c r="K141" s="19" t="str">
        <f t="shared" si="4"/>
        <v>INSERT INTO `comm_constant` (`ID`,`CONSTANT_TYPE`,`CONSTANT_TYPE_NAME`,`CONSTANT_NAME`,`CONSTANT_VALUE`,`DEL_FLG`,`CRT_ID`,`CRT_TIME`,`UPD_ID`,`UPD_TIME`,`ACT_ID`,`ACT_TIME`,`VER`) VALUES ('137', 'BuyerType', '买家类型前台用', '沙县小吃', '0601', '0', 'admin', now(), 'admin', now(), 'admin', now(), 1);</v>
      </c>
    </row>
    <row r="142" spans="2:11">
      <c r="B142" s="44">
        <f t="shared" si="2"/>
        <v>138</v>
      </c>
      <c r="C142" s="62" t="s">
        <v>946</v>
      </c>
      <c r="D142" s="44" t="s">
        <v>947</v>
      </c>
      <c r="E142" s="44" t="s">
        <v>950</v>
      </c>
      <c r="F142" s="67" t="s">
        <v>1307</v>
      </c>
      <c r="G142" s="44">
        <v>0</v>
      </c>
      <c r="H142" s="44" t="s">
        <v>50</v>
      </c>
      <c r="I142" s="44"/>
      <c r="K142" s="19" t="str">
        <f t="shared" si="4"/>
        <v>INSERT INTO `comm_constant` (`ID`,`CONSTANT_TYPE`,`CONSTANT_TYPE_NAME`,`CONSTANT_NAME`,`CONSTANT_VALUE`,`DEL_FLG`,`CRT_ID`,`CRT_TIME`,`UPD_ID`,`UPD_TIME`,`ACT_ID`,`ACT_TIME`,`VER`) VALUES ('138', 'BuyerType', '买家类型前台用', '菜饭骨头汤', '0602', '0', 'admin', now(), 'admin', now(), 'admin', now(), 1);</v>
      </c>
    </row>
    <row r="143" spans="2:11">
      <c r="B143" s="44">
        <f t="shared" si="2"/>
        <v>139</v>
      </c>
      <c r="C143" s="62" t="s">
        <v>946</v>
      </c>
      <c r="D143" s="44" t="s">
        <v>947</v>
      </c>
      <c r="E143" s="44" t="s">
        <v>951</v>
      </c>
      <c r="F143" s="67" t="s">
        <v>1308</v>
      </c>
      <c r="G143" s="44">
        <v>0</v>
      </c>
      <c r="H143" s="44" t="s">
        <v>50</v>
      </c>
      <c r="I143" s="44"/>
      <c r="K143" s="19" t="str">
        <f t="shared" si="4"/>
        <v>INSERT INTO `comm_constant` (`ID`,`CONSTANT_TYPE`,`CONSTANT_TYPE_NAME`,`CONSTANT_NAME`,`CONSTANT_VALUE`,`DEL_FLG`,`CRT_ID`,`CRT_TIME`,`UPD_ID`,`UPD_TIME`,`ACT_ID`,`ACT_TIME`,`VER`) VALUES ('139', 'BuyerType', '买家类型前台用', '黄焖鸡米饭', '0603', '0', 'admin', now(), 'admin', now(), 'admin', now(), 1);</v>
      </c>
    </row>
    <row r="144" spans="2:11">
      <c r="B144" s="44">
        <f t="shared" si="0"/>
        <v>140</v>
      </c>
      <c r="C144" s="44" t="s">
        <v>79</v>
      </c>
      <c r="D144" s="44" t="s">
        <v>80</v>
      </c>
      <c r="E144" s="44" t="s">
        <v>81</v>
      </c>
      <c r="F144" s="67">
        <v>1</v>
      </c>
      <c r="G144" s="44">
        <v>0</v>
      </c>
      <c r="H144" s="44" t="s">
        <v>41</v>
      </c>
      <c r="I144" s="45" t="s">
        <v>82</v>
      </c>
      <c r="K144" s="19" t="str">
        <f t="shared" si="4"/>
        <v>INSERT INTO `comm_constant` (`ID`,`CONSTANT_TYPE`,`CONSTANT_TYPE_NAME`,`CONSTANT_NAME`,`CONSTANT_VALUE`,`DEL_FLG`,`CRT_ID`,`CRT_TIME`,`UPD_ID`,`UPD_TIME`,`ACT_ID`,`ACT_TIME`,`VER`) VALUES ('140', 'OrderType', '订单类型', '分销订单', '1', '0', 'admin', now(), 'admin', now(), 'admin', now(), 1);</v>
      </c>
    </row>
    <row r="145" spans="2:11">
      <c r="B145" s="44">
        <f t="shared" si="0"/>
        <v>141</v>
      </c>
      <c r="C145" s="44" t="s">
        <v>79</v>
      </c>
      <c r="D145" s="44" t="s">
        <v>80</v>
      </c>
      <c r="E145" s="44" t="s">
        <v>83</v>
      </c>
      <c r="F145" s="67">
        <v>2</v>
      </c>
      <c r="G145" s="44">
        <v>0</v>
      </c>
      <c r="H145" s="44" t="s">
        <v>41</v>
      </c>
      <c r="I145" s="45"/>
      <c r="K145" s="19" t="str">
        <f t="shared" si="4"/>
        <v>INSERT INTO `comm_constant` (`ID`,`CONSTANT_TYPE`,`CONSTANT_TYPE_NAME`,`CONSTANT_NAME`,`CONSTANT_VALUE`,`DEL_FLG`,`CRT_ID`,`CRT_TIME`,`UPD_ID`,`UPD_TIME`,`ACT_ID`,`ACT_TIME`,`VER`) VALUES ('141', 'OrderType', '订单类型', '第三方订单', '2', '0', 'admin', now(), 'admin', now(), 'admin', now(), 1);</v>
      </c>
    </row>
    <row r="146" spans="2:11">
      <c r="B146" s="44">
        <f t="shared" si="0"/>
        <v>142</v>
      </c>
      <c r="C146" s="44" t="s">
        <v>79</v>
      </c>
      <c r="D146" s="44" t="s">
        <v>80</v>
      </c>
      <c r="E146" s="44" t="s">
        <v>84</v>
      </c>
      <c r="F146" s="67">
        <v>3</v>
      </c>
      <c r="G146" s="44">
        <v>0</v>
      </c>
      <c r="H146" s="44" t="s">
        <v>41</v>
      </c>
      <c r="I146" s="45"/>
      <c r="K146" s="19" t="str">
        <f t="shared" si="4"/>
        <v>INSERT INTO `comm_constant` (`ID`,`CONSTANT_TYPE`,`CONSTANT_TYPE_NAME`,`CONSTANT_NAME`,`CONSTANT_VALUE`,`DEL_FLG`,`CRT_ID`,`CRT_TIME`,`UPD_ID`,`UPD_TIME`,`ACT_ID`,`ACT_TIME`,`VER`) VALUES ('142', 'OrderType', '订单类型', '大促会订单', '3', '0', 'admin', now(), 'admin', now(), 'admin', now(), 1);</v>
      </c>
    </row>
    <row r="147" spans="2:11">
      <c r="B147" s="44">
        <f t="shared" si="0"/>
        <v>143</v>
      </c>
      <c r="C147" s="44" t="s">
        <v>79</v>
      </c>
      <c r="D147" s="44" t="s">
        <v>80</v>
      </c>
      <c r="E147" s="44" t="s">
        <v>85</v>
      </c>
      <c r="F147" s="67">
        <v>4</v>
      </c>
      <c r="G147" s="44">
        <v>0</v>
      </c>
      <c r="H147" s="44" t="s">
        <v>41</v>
      </c>
      <c r="I147" s="45"/>
      <c r="K147" s="19" t="str">
        <f t="shared" si="4"/>
        <v>INSERT INTO `comm_constant` (`ID`,`CONSTANT_TYPE`,`CONSTANT_TYPE_NAME`,`CONSTANT_NAME`,`CONSTANT_VALUE`,`DEL_FLG`,`CRT_ID`,`CRT_TIME`,`UPD_ID`,`UPD_TIME`,`ACT_ID`,`ACT_TIME`,`VER`) VALUES ('143', 'OrderType', '订单类型', '买手囤货订单', '4', '0', 'admin', now(), 'admin', now(), 'admin', now(), 1);</v>
      </c>
    </row>
    <row r="148" spans="2:11">
      <c r="B148" s="44">
        <f t="shared" si="0"/>
        <v>144</v>
      </c>
      <c r="C148" s="44" t="s">
        <v>79</v>
      </c>
      <c r="D148" s="44" t="s">
        <v>80</v>
      </c>
      <c r="E148" s="44" t="s">
        <v>86</v>
      </c>
      <c r="F148" s="67">
        <v>5</v>
      </c>
      <c r="G148" s="44">
        <v>0</v>
      </c>
      <c r="H148" s="44" t="s">
        <v>41</v>
      </c>
      <c r="I148" s="45"/>
      <c r="K148" s="19" t="str">
        <f t="shared" si="4"/>
        <v>INSERT INTO `comm_constant` (`ID`,`CONSTANT_TYPE`,`CONSTANT_TYPE_NAME`,`CONSTANT_NAME`,`CONSTANT_VALUE`,`DEL_FLG`,`CRT_ID`,`CRT_TIME`,`UPD_ID`,`UPD_TIME`,`ACT_ID`,`ACT_TIME`,`VER`) VALUES ('144', 'OrderType', '订单类型', '买手销售订单', '5', '0', 'admin', now(), 'admin', now(), 'admin', now(), 1);</v>
      </c>
    </row>
    <row r="149" spans="2:11">
      <c r="B149" s="44">
        <f t="shared" si="0"/>
        <v>145</v>
      </c>
      <c r="C149" s="44" t="s">
        <v>79</v>
      </c>
      <c r="D149" s="44" t="s">
        <v>80</v>
      </c>
      <c r="E149" s="44" t="s">
        <v>87</v>
      </c>
      <c r="F149" s="67">
        <v>6</v>
      </c>
      <c r="G149" s="44">
        <v>0</v>
      </c>
      <c r="H149" s="44" t="s">
        <v>41</v>
      </c>
      <c r="I149" s="45"/>
      <c r="K149" s="19" t="str">
        <f t="shared" si="4"/>
        <v>INSERT INTO `comm_constant` (`ID`,`CONSTANT_TYPE`,`CONSTANT_TYPE_NAME`,`CONSTANT_NAME`,`CONSTANT_VALUE`,`DEL_FLG`,`CRT_ID`,`CRT_TIME`,`UPD_ID`,`UPD_TIME`,`ACT_ID`,`ACT_TIME`,`VER`) VALUES ('145', 'OrderType', '订单类型', '第三方买手销售订单', '6', '0', 'admin', now(), 'admin', now(), 'admin', now(), 1);</v>
      </c>
    </row>
    <row r="150" spans="2:11">
      <c r="B150" s="44">
        <f t="shared" si="0"/>
        <v>146</v>
      </c>
      <c r="C150" s="44" t="s">
        <v>79</v>
      </c>
      <c r="D150" s="44" t="s">
        <v>80</v>
      </c>
      <c r="E150" s="44" t="s">
        <v>88</v>
      </c>
      <c r="F150" s="67">
        <v>7</v>
      </c>
      <c r="G150" s="44">
        <v>0</v>
      </c>
      <c r="H150" s="44" t="s">
        <v>41</v>
      </c>
      <c r="I150" s="45"/>
      <c r="K150" s="19" t="str">
        <f t="shared" si="4"/>
        <v>INSERT INTO `comm_constant` (`ID`,`CONSTANT_TYPE`,`CONSTANT_TYPE_NAME`,`CONSTANT_NAME`,`CONSTANT_VALUE`,`DEL_FLG`,`CRT_ID`,`CRT_TIME`,`UPD_ID`,`UPD_TIME`,`ACT_ID`,`ACT_TIME`,`VER`) VALUES ('146', 'OrderType', '订单类型', '第三方买手囤货订单', '7', '0', 'admin', now(), 'admin', now(), 'admin', now(), 1);</v>
      </c>
    </row>
    <row r="151" spans="2:11">
      <c r="B151" s="44">
        <f t="shared" si="0"/>
        <v>147</v>
      </c>
      <c r="C151" s="44" t="s">
        <v>89</v>
      </c>
      <c r="D151" s="44" t="s">
        <v>90</v>
      </c>
      <c r="E151" s="44" t="s">
        <v>91</v>
      </c>
      <c r="F151" s="67">
        <v>1</v>
      </c>
      <c r="G151" s="44">
        <v>0</v>
      </c>
      <c r="H151" s="44" t="s">
        <v>41</v>
      </c>
      <c r="I151" s="45" t="s">
        <v>92</v>
      </c>
      <c r="K151" s="19" t="str">
        <f t="shared" si="4"/>
        <v>INSERT INTO `comm_constant` (`ID`,`CONSTANT_TYPE`,`CONSTANT_TYPE_NAME`,`CONSTANT_NAME`,`CONSTANT_VALUE`,`DEL_FLG`,`CRT_ID`,`CRT_TIME`,`UPD_ID`,`UPD_TIME`,`ACT_ID`,`ACT_TIME`,`VER`) VALUES ('147', 'PaymentType', '付款类型', '在线支付', '1', '0', 'admin', now(), 'admin', now(), 'admin', now(), 1);</v>
      </c>
    </row>
    <row r="152" spans="2:11">
      <c r="B152" s="44">
        <f t="shared" si="0"/>
        <v>148</v>
      </c>
      <c r="C152" s="44" t="s">
        <v>89</v>
      </c>
      <c r="D152" s="44" t="s">
        <v>90</v>
      </c>
      <c r="E152" s="44" t="s">
        <v>93</v>
      </c>
      <c r="F152" s="67">
        <v>2</v>
      </c>
      <c r="G152" s="44">
        <v>0</v>
      </c>
      <c r="H152" s="44" t="s">
        <v>41</v>
      </c>
      <c r="I152" s="45"/>
      <c r="K152" s="19" t="str">
        <f t="shared" si="4"/>
        <v>INSERT INTO `comm_constant` (`ID`,`CONSTANT_TYPE`,`CONSTANT_TYPE_NAME`,`CONSTANT_NAME`,`CONSTANT_VALUE`,`DEL_FLG`,`CRT_ID`,`CRT_TIME`,`UPD_ID`,`UPD_TIME`,`ACT_ID`,`ACT_TIME`,`VER`) VALUES ('148', 'PaymentType', '付款类型', '货到付款（线下支付）', '2', '0', 'admin', now(), 'admin', now(), 'admin', now(), 1);</v>
      </c>
    </row>
    <row r="153" spans="2:11" s="15" customFormat="1">
      <c r="B153" s="44">
        <f t="shared" si="0"/>
        <v>149</v>
      </c>
      <c r="C153" s="44" t="s">
        <v>94</v>
      </c>
      <c r="D153" s="44" t="s">
        <v>95</v>
      </c>
      <c r="E153" s="44" t="s">
        <v>96</v>
      </c>
      <c r="F153" s="67">
        <v>1</v>
      </c>
      <c r="G153" s="44">
        <v>0</v>
      </c>
      <c r="H153" s="44" t="s">
        <v>41</v>
      </c>
      <c r="I153" s="45" t="s">
        <v>97</v>
      </c>
      <c r="K153" s="19" t="str">
        <f t="shared" si="4"/>
        <v>INSERT INTO `comm_constant` (`ID`,`CONSTANT_TYPE`,`CONSTANT_TYPE_NAME`,`CONSTANT_NAME`,`CONSTANT_VALUE`,`DEL_FLG`,`CRT_ID`,`CRT_TIME`,`UPD_ID`,`UPD_TIME`,`ACT_ID`,`ACT_TIME`,`VER`) VALUES ('149', 'OrderDetailType', '订单明细类型', '正常订单', '1', '0', 'admin', now(), 'admin', now(), 'admin', now(), 1);</v>
      </c>
    </row>
    <row r="154" spans="2:11" s="15" customFormat="1">
      <c r="B154" s="44">
        <f t="shared" si="0"/>
        <v>150</v>
      </c>
      <c r="C154" s="44" t="s">
        <v>94</v>
      </c>
      <c r="D154" s="44" t="s">
        <v>95</v>
      </c>
      <c r="E154" s="44" t="s">
        <v>98</v>
      </c>
      <c r="F154" s="67">
        <v>2</v>
      </c>
      <c r="G154" s="44">
        <v>0</v>
      </c>
      <c r="H154" s="44" t="s">
        <v>41</v>
      </c>
      <c r="I154" s="45"/>
      <c r="K154" s="19" t="str">
        <f t="shared" si="4"/>
        <v>INSERT INTO `comm_constant` (`ID`,`CONSTANT_TYPE`,`CONSTANT_TYPE_NAME`,`CONSTANT_NAME`,`CONSTANT_VALUE`,`DEL_FLG`,`CRT_ID`,`CRT_TIME`,`UPD_ID`,`UPD_TIME`,`ACT_ID`,`ACT_TIME`,`VER`) VALUES ('150', 'OrderDetailType', '订单明细类型', '非正常订单', '2', '0', 'admin', now(), 'admin', now(), 'admin', now(), 1);</v>
      </c>
    </row>
    <row r="155" spans="2:11" s="15" customFormat="1">
      <c r="B155" s="44">
        <f t="shared" si="0"/>
        <v>151</v>
      </c>
      <c r="C155" s="44" t="s">
        <v>94</v>
      </c>
      <c r="D155" s="44" t="s">
        <v>95</v>
      </c>
      <c r="E155" s="44" t="s">
        <v>99</v>
      </c>
      <c r="F155" s="67">
        <v>3</v>
      </c>
      <c r="G155" s="44">
        <v>0</v>
      </c>
      <c r="H155" s="44" t="s">
        <v>41</v>
      </c>
      <c r="I155" s="45"/>
      <c r="K155" s="19" t="str">
        <f t="shared" si="4"/>
        <v>INSERT INTO `comm_constant` (`ID`,`CONSTANT_TYPE`,`CONSTANT_TYPE_NAME`,`CONSTANT_NAME`,`CONSTANT_VALUE`,`DEL_FLG`,`CRT_ID`,`CRT_TIME`,`UPD_ID`,`UPD_TIME`,`ACT_ID`,`ACT_TIME`,`VER`) VALUES ('151', 'OrderDetailType', '订单明细类型', '促销订单', '3', '0', 'admin', now(), 'admin', now(), 'admin', now(), 1);</v>
      </c>
    </row>
    <row r="156" spans="2:11" s="15" customFormat="1">
      <c r="B156" s="44">
        <f t="shared" si="0"/>
        <v>152</v>
      </c>
      <c r="C156" s="44" t="s">
        <v>100</v>
      </c>
      <c r="D156" s="44" t="s">
        <v>101</v>
      </c>
      <c r="E156" s="44" t="s">
        <v>102</v>
      </c>
      <c r="F156" s="67">
        <v>1</v>
      </c>
      <c r="G156" s="44">
        <v>0</v>
      </c>
      <c r="H156" s="44" t="s">
        <v>41</v>
      </c>
      <c r="I156" s="45" t="s">
        <v>103</v>
      </c>
      <c r="K156" s="19" t="str">
        <f t="shared" si="4"/>
        <v>INSERT INTO `comm_constant` (`ID`,`CONSTANT_TYPE`,`CONSTANT_TYPE_NAME`,`CONSTANT_NAME`,`CONSTANT_VALUE`,`DEL_FLG`,`CRT_ID`,`CRT_TIME`,`UPD_ID`,`UPD_TIME`,`ACT_ID`,`ACT_TIME`,`VER`) VALUES ('152', 'OrderLevel', '订单明细等级', '标准订单', '1', '0', 'admin', now(), 'admin', now(), 'admin', now(), 1);</v>
      </c>
    </row>
    <row r="157" spans="2:11" s="15" customFormat="1">
      <c r="B157" s="44">
        <f t="shared" si="0"/>
        <v>153</v>
      </c>
      <c r="C157" s="44" t="s">
        <v>100</v>
      </c>
      <c r="D157" s="44" t="s">
        <v>101</v>
      </c>
      <c r="E157" s="44" t="s">
        <v>104</v>
      </c>
      <c r="F157" s="67">
        <v>2</v>
      </c>
      <c r="G157" s="44">
        <v>0</v>
      </c>
      <c r="H157" s="44" t="s">
        <v>41</v>
      </c>
      <c r="I157" s="45"/>
      <c r="K157" s="19" t="str">
        <f t="shared" si="4"/>
        <v>INSERT INTO `comm_constant` (`ID`,`CONSTANT_TYPE`,`CONSTANT_TYPE_NAME`,`CONSTANT_NAME`,`CONSTANT_VALUE`,`DEL_FLG`,`CRT_ID`,`CRT_TIME`,`UPD_ID`,`UPD_TIME`,`ACT_ID`,`ACT_TIME`,`VER`) VALUES ('153', 'OrderLevel', '订单明细等级', '大额订单', '2', '0', 'admin', now(), 'admin', now(), 'admin', now(), 1);</v>
      </c>
    </row>
    <row r="158" spans="2:11" s="15" customFormat="1">
      <c r="B158" s="44">
        <f t="shared" si="0"/>
        <v>154</v>
      </c>
      <c r="C158" s="44" t="s">
        <v>100</v>
      </c>
      <c r="D158" s="44" t="s">
        <v>101</v>
      </c>
      <c r="E158" s="44" t="s">
        <v>105</v>
      </c>
      <c r="F158" s="67">
        <v>3</v>
      </c>
      <c r="G158" s="44">
        <v>0</v>
      </c>
      <c r="H158" s="44" t="s">
        <v>41</v>
      </c>
      <c r="I158" s="45"/>
      <c r="K158" s="19" t="str">
        <f t="shared" si="4"/>
        <v>INSERT INTO `comm_constant` (`ID`,`CONSTANT_TYPE`,`CONSTANT_TYPE_NAME`,`CONSTANT_NAME`,`CONSTANT_VALUE`,`DEL_FLG`,`CRT_ID`,`CRT_TIME`,`UPD_ID`,`UPD_TIME`,`ACT_ID`,`ACT_TIME`,`VER`) VALUES ('154', 'OrderLevel', '订单明细等级', '大宗订单', '3', '0', 'admin', now(), 'admin', now(), 'admin', now(), 1);</v>
      </c>
    </row>
    <row r="159" spans="2:11" s="15" customFormat="1">
      <c r="B159" s="44">
        <f t="shared" si="0"/>
        <v>155</v>
      </c>
      <c r="C159" s="44" t="s">
        <v>100</v>
      </c>
      <c r="D159" s="44" t="s">
        <v>101</v>
      </c>
      <c r="E159" s="44" t="s">
        <v>106</v>
      </c>
      <c r="F159" s="67">
        <v>4</v>
      </c>
      <c r="G159" s="44">
        <v>0</v>
      </c>
      <c r="H159" s="44" t="s">
        <v>41</v>
      </c>
      <c r="I159" s="45"/>
      <c r="K159" s="19" t="str">
        <f t="shared" si="4"/>
        <v>INSERT INTO `comm_constant` (`ID`,`CONSTANT_TYPE`,`CONSTANT_TYPE_NAME`,`CONSTANT_NAME`,`CONSTANT_VALUE`,`DEL_FLG`,`CRT_ID`,`CRT_TIME`,`UPD_ID`,`UPD_TIME`,`ACT_ID`,`ACT_TIME`,`VER`) VALUES ('155', 'OrderLevel', '订单明细等级', '超级大宗订单', '4', '0', 'admin', now(), 'admin', now(), 'admin', now(), 1);</v>
      </c>
    </row>
    <row r="160" spans="2:11" s="15" customFormat="1">
      <c r="B160" s="44">
        <f t="shared" si="0"/>
        <v>156</v>
      </c>
      <c r="C160" s="44" t="s">
        <v>107</v>
      </c>
      <c r="D160" s="44" t="s">
        <v>108</v>
      </c>
      <c r="E160" s="44" t="s">
        <v>109</v>
      </c>
      <c r="F160" s="67">
        <v>1</v>
      </c>
      <c r="G160" s="44">
        <v>0</v>
      </c>
      <c r="H160" s="44" t="s">
        <v>41</v>
      </c>
      <c r="I160" s="45" t="s">
        <v>110</v>
      </c>
      <c r="K160" s="19" t="str">
        <f t="shared" si="4"/>
        <v>INSERT INTO `comm_constant` (`ID`,`CONSTANT_TYPE`,`CONSTANT_TYPE_NAME`,`CONSTANT_NAME`,`CONSTANT_VALUE`,`DEL_FLG`,`CRT_ID`,`CRT_TIME`,`UPD_ID`,`UPD_TIME`,`ACT_ID`,`ACT_TIME`,`VER`) VALUES ('156', 'InvoiceType', '发票类型', '普通发票', '1', '0', 'admin', now(), 'admin', now(), 'admin', now(), 1);</v>
      </c>
    </row>
    <row r="161" spans="2:11" s="15" customFormat="1">
      <c r="B161" s="44">
        <f t="shared" si="0"/>
        <v>157</v>
      </c>
      <c r="C161" s="44" t="s">
        <v>1309</v>
      </c>
      <c r="D161" s="44" t="s">
        <v>108</v>
      </c>
      <c r="E161" s="44" t="s">
        <v>111</v>
      </c>
      <c r="F161" s="67">
        <v>2</v>
      </c>
      <c r="G161" s="44">
        <v>0</v>
      </c>
      <c r="H161" s="44" t="s">
        <v>41</v>
      </c>
      <c r="I161" s="45"/>
      <c r="K161" s="19" t="str">
        <f t="shared" si="4"/>
        <v>INSERT INTO `comm_constant` (`ID`,`CONSTANT_TYPE`,`CONSTANT_TYPE_NAME`,`CONSTANT_NAME`,`CONSTANT_VALUE`,`DEL_FLG`,`CRT_ID`,`CRT_TIME`,`UPD_ID`,`UPD_TIME`,`ACT_ID`,`ACT_TIME`,`VER`) VALUES ('157', 'InvoiceType', '发票类型', '增值税普通发票', '2', '0', 'admin', now(), 'admin', now(), 'admin', now(), 1);</v>
      </c>
    </row>
    <row r="162" spans="2:11" s="15" customFormat="1">
      <c r="B162" s="44">
        <f t="shared" si="0"/>
        <v>158</v>
      </c>
      <c r="C162" s="44" t="s">
        <v>107</v>
      </c>
      <c r="D162" s="44" t="s">
        <v>108</v>
      </c>
      <c r="E162" s="44" t="s">
        <v>112</v>
      </c>
      <c r="F162" s="67">
        <v>3</v>
      </c>
      <c r="G162" s="44">
        <v>0</v>
      </c>
      <c r="H162" s="44" t="s">
        <v>41</v>
      </c>
      <c r="I162" s="45"/>
      <c r="K162" s="19" t="str">
        <f t="shared" si="4"/>
        <v>INSERT INTO `comm_constant` (`ID`,`CONSTANT_TYPE`,`CONSTANT_TYPE_NAME`,`CONSTANT_NAME`,`CONSTANT_VALUE`,`DEL_FLG`,`CRT_ID`,`CRT_TIME`,`UPD_ID`,`UPD_TIME`,`ACT_ID`,`ACT_TIME`,`VER`) VALUES ('158', 'InvoiceType', '发票类型', '增值税专用发票', '3', '0', 'admin', now(), 'admin', now(), 'admin', now(), 1);</v>
      </c>
    </row>
    <row r="163" spans="2:11" s="15" customFormat="1">
      <c r="B163" s="44">
        <f t="shared" si="0"/>
        <v>159</v>
      </c>
      <c r="C163" s="44" t="s">
        <v>113</v>
      </c>
      <c r="D163" s="44" t="s">
        <v>114</v>
      </c>
      <c r="E163" s="44" t="s">
        <v>1310</v>
      </c>
      <c r="F163" s="67">
        <v>1</v>
      </c>
      <c r="G163" s="44">
        <v>0</v>
      </c>
      <c r="H163" s="44" t="s">
        <v>1311</v>
      </c>
      <c r="I163" s="45" t="s">
        <v>115</v>
      </c>
      <c r="K163" s="19" t="str">
        <f t="shared" si="4"/>
        <v>INSERT INTO `comm_constant` (`ID`,`CONSTANT_TYPE`,`CONSTANT_TYPE_NAME`,`CONSTANT_NAME`,`CONSTANT_VALUE`,`DEL_FLG`,`CRT_ID`,`CRT_TIME`,`UPD_ID`,`UPD_TIME`,`ACT_ID`,`ACT_TIME`,`VER`) VALUES ('159', 'ReturnType', '退货类型', '迟收退货', '1', '0', 'admin', now(), 'admin', now(), 'admin', now(), 1);</v>
      </c>
    </row>
    <row r="164" spans="2:11" s="15" customFormat="1">
      <c r="B164" s="44">
        <f t="shared" si="0"/>
        <v>160</v>
      </c>
      <c r="C164" s="44" t="s">
        <v>113</v>
      </c>
      <c r="D164" s="44" t="s">
        <v>114</v>
      </c>
      <c r="E164" s="44" t="s">
        <v>867</v>
      </c>
      <c r="F164" s="67">
        <v>2</v>
      </c>
      <c r="G164" s="44">
        <v>0</v>
      </c>
      <c r="H164" s="44" t="s">
        <v>1311</v>
      </c>
      <c r="I164" s="45"/>
      <c r="K164" s="19" t="str">
        <f t="shared" si="4"/>
        <v>INSERT INTO `comm_constant` (`ID`,`CONSTANT_TYPE`,`CONSTANT_TYPE_NAME`,`CONSTANT_NAME`,`CONSTANT_VALUE`,`DEL_FLG`,`CRT_ID`,`CRT_TIME`,`UPD_ID`,`UPD_TIME`,`ACT_ID`,`ACT_TIME`,`VER`) VALUES ('160', 'ReturnType', '退货类型', '现场拒收', '2', '0', 'admin', now(), 'admin', now(), 'admin', now(), 1);</v>
      </c>
    </row>
    <row r="165" spans="2:11" s="15" customFormat="1">
      <c r="B165" s="44">
        <f t="shared" si="0"/>
        <v>161</v>
      </c>
      <c r="C165" s="44" t="s">
        <v>113</v>
      </c>
      <c r="D165" s="44" t="s">
        <v>114</v>
      </c>
      <c r="E165" s="44" t="s">
        <v>868</v>
      </c>
      <c r="F165" s="67">
        <v>3</v>
      </c>
      <c r="G165" s="44">
        <v>0</v>
      </c>
      <c r="H165" s="44" t="s">
        <v>1311</v>
      </c>
      <c r="I165" s="45"/>
      <c r="K165" s="19" t="str">
        <f t="shared" si="4"/>
        <v>INSERT INTO `comm_constant` (`ID`,`CONSTANT_TYPE`,`CONSTANT_TYPE_NAME`,`CONSTANT_NAME`,`CONSTANT_VALUE`,`DEL_FLG`,`CRT_ID`,`CRT_TIME`,`UPD_ID`,`UPD_TIME`,`ACT_ID`,`ACT_TIME`,`VER`) VALUES ('161', 'ReturnType', '退货类型', '平台退货', '3', '0', 'admin', now(), 'admin', now(), 'admin', now(), 1);</v>
      </c>
    </row>
    <row r="166" spans="2:11" s="15" customFormat="1">
      <c r="B166" s="44">
        <f t="shared" si="0"/>
        <v>162</v>
      </c>
      <c r="C166" s="44" t="s">
        <v>116</v>
      </c>
      <c r="D166" s="44" t="s">
        <v>117</v>
      </c>
      <c r="E166" s="44" t="s">
        <v>118</v>
      </c>
      <c r="F166" s="67">
        <v>1</v>
      </c>
      <c r="G166" s="44">
        <v>0</v>
      </c>
      <c r="H166" s="44" t="s">
        <v>41</v>
      </c>
      <c r="I166" s="45" t="s">
        <v>119</v>
      </c>
      <c r="K166" s="19" t="str">
        <f t="shared" si="4"/>
        <v>INSERT INTO `comm_constant` (`ID`,`CONSTANT_TYPE`,`CONSTANT_TYPE_NAME`,`CONSTANT_NAME`,`CONSTANT_VALUE`,`DEL_FLG`,`CRT_ID`,`CRT_TIME`,`UPD_ID`,`UPD_TIME`,`ACT_ID`,`ACT_TIME`,`VER`) VALUES ('162', 'ReturnMode', '退货方式', '全退', '1', '0', 'admin', now(), 'admin', now(), 'admin', now(), 1);</v>
      </c>
    </row>
    <row r="167" spans="2:11" s="15" customFormat="1">
      <c r="B167" s="44">
        <f t="shared" si="0"/>
        <v>163</v>
      </c>
      <c r="C167" s="44" t="s">
        <v>116</v>
      </c>
      <c r="D167" s="44" t="s">
        <v>117</v>
      </c>
      <c r="E167" s="44" t="s">
        <v>120</v>
      </c>
      <c r="F167" s="67">
        <v>2</v>
      </c>
      <c r="G167" s="44">
        <v>0</v>
      </c>
      <c r="H167" s="44" t="s">
        <v>41</v>
      </c>
      <c r="I167" s="45"/>
      <c r="K167" s="19" t="str">
        <f t="shared" si="4"/>
        <v>INSERT INTO `comm_constant` (`ID`,`CONSTANT_TYPE`,`CONSTANT_TYPE_NAME`,`CONSTANT_NAME`,`CONSTANT_VALUE`,`DEL_FLG`,`CRT_ID`,`CRT_TIME`,`UPD_ID`,`UPD_TIME`,`ACT_ID`,`ACT_TIME`,`VER`) VALUES ('163', 'ReturnMode', '退货方式', '部分退', '2', '0', 'admin', now(), 'admin', now(), 'admin', now(), 1);</v>
      </c>
    </row>
    <row r="168" spans="2:11" s="15" customFormat="1">
      <c r="B168" s="44">
        <f t="shared" si="0"/>
        <v>164</v>
      </c>
      <c r="C168" s="44" t="s">
        <v>121</v>
      </c>
      <c r="D168" s="44" t="s">
        <v>122</v>
      </c>
      <c r="E168" s="44" t="s">
        <v>123</v>
      </c>
      <c r="F168" s="67">
        <v>1</v>
      </c>
      <c r="G168" s="44">
        <v>0</v>
      </c>
      <c r="H168" s="44" t="s">
        <v>41</v>
      </c>
      <c r="I168" s="45" t="s">
        <v>124</v>
      </c>
      <c r="K168" s="19" t="str">
        <f t="shared" si="4"/>
        <v>INSERT INTO `comm_constant` (`ID`,`CONSTANT_TYPE`,`CONSTANT_TYPE_NAME`,`CONSTANT_NAME`,`CONSTANT_VALUE`,`DEL_FLG`,`CRT_ID`,`CRT_TIME`,`UPD_ID`,`UPD_TIME`,`ACT_ID`,`ACT_TIME`,`VER`) VALUES ('164', 'OrderCancleType', '取消类型', '买家取消', '1', '0', 'admin', now(), 'admin', now(), 'admin', now(), 1);</v>
      </c>
    </row>
    <row r="169" spans="2:11" s="15" customFormat="1">
      <c r="B169" s="44">
        <f t="shared" si="0"/>
        <v>165</v>
      </c>
      <c r="C169" s="44" t="s">
        <v>121</v>
      </c>
      <c r="D169" s="44" t="s">
        <v>122</v>
      </c>
      <c r="E169" s="44" t="s">
        <v>125</v>
      </c>
      <c r="F169" s="67">
        <v>2</v>
      </c>
      <c r="G169" s="44">
        <v>0</v>
      </c>
      <c r="H169" s="44" t="s">
        <v>41</v>
      </c>
      <c r="I169" s="45"/>
      <c r="K169" s="19" t="str">
        <f t="shared" si="4"/>
        <v>INSERT INTO `comm_constant` (`ID`,`CONSTANT_TYPE`,`CONSTANT_TYPE_NAME`,`CONSTANT_NAME`,`CONSTANT_VALUE`,`DEL_FLG`,`CRT_ID`,`CRT_TIME`,`UPD_ID`,`UPD_TIME`,`ACT_ID`,`ACT_TIME`,`VER`) VALUES ('165', 'OrderCancleType', '取消类型', '不同意拼货取消', '2', '0', 'admin', now(), 'admin', now(), 'admin', now(), 1);</v>
      </c>
    </row>
    <row r="170" spans="2:11" s="15" customFormat="1">
      <c r="B170" s="44">
        <f t="shared" si="0"/>
        <v>166</v>
      </c>
      <c r="C170" s="44" t="s">
        <v>121</v>
      </c>
      <c r="D170" s="44" t="s">
        <v>122</v>
      </c>
      <c r="E170" s="44" t="s">
        <v>126</v>
      </c>
      <c r="F170" s="67">
        <v>3</v>
      </c>
      <c r="G170" s="44">
        <v>0</v>
      </c>
      <c r="H170" s="44" t="s">
        <v>41</v>
      </c>
      <c r="I170" s="45"/>
      <c r="K170" s="19" t="str">
        <f t="shared" si="4"/>
        <v>INSERT INTO `comm_constant` (`ID`,`CONSTANT_TYPE`,`CONSTANT_TYPE_NAME`,`CONSTANT_NAME`,`CONSTANT_VALUE`,`DEL_FLG`,`CRT_ID`,`CRT_TIME`,`UPD_ID`,`UPD_TIME`,`ACT_ID`,`ACT_TIME`,`VER`) VALUES ('166', 'OrderCancleType', '取消类型', '不同意分批取消', '3', '0', 'admin', now(), 'admin', now(), 'admin', now(), 1);</v>
      </c>
    </row>
    <row r="171" spans="2:11">
      <c r="B171" s="44">
        <f t="shared" si="0"/>
        <v>167</v>
      </c>
      <c r="C171" s="44" t="s">
        <v>127</v>
      </c>
      <c r="D171" s="44" t="s">
        <v>1372</v>
      </c>
      <c r="E171" s="44" t="s">
        <v>1370</v>
      </c>
      <c r="F171" s="67">
        <v>0</v>
      </c>
      <c r="G171" s="44">
        <v>0</v>
      </c>
      <c r="H171" s="44" t="s">
        <v>41</v>
      </c>
      <c r="I171" s="45" t="s">
        <v>129</v>
      </c>
      <c r="K171" s="19" t="str">
        <f t="shared" si="4"/>
        <v>INSERT INTO `comm_constant` (`ID`,`CONSTANT_TYPE`,`CONSTANT_TYPE_NAME`,`CONSTANT_NAME`,`CONSTANT_VALUE`,`DEL_FLG`,`CRT_ID`,`CRT_TIME`,`UPD_ID`,`UPD_TIME`,`ACT_ID`,`ACT_TIME`,`VER`) VALUES ('167', '分批发货确认', 'SplitDeliveryFlg', '否', '0', '0', 'admin', now(), 'admin', now(), 'admin', now(), 1);</v>
      </c>
    </row>
    <row r="172" spans="2:11">
      <c r="B172" s="44">
        <f t="shared" si="0"/>
        <v>168</v>
      </c>
      <c r="C172" s="44" t="s">
        <v>127</v>
      </c>
      <c r="D172" s="44" t="s">
        <v>128</v>
      </c>
      <c r="E172" s="44" t="s">
        <v>1371</v>
      </c>
      <c r="F172" s="67">
        <v>1</v>
      </c>
      <c r="G172" s="44">
        <v>0</v>
      </c>
      <c r="H172" s="44" t="s">
        <v>41</v>
      </c>
      <c r="I172" s="45"/>
      <c r="K172" s="19" t="str">
        <f t="shared" si="4"/>
        <v>INSERT INTO `comm_constant` (`ID`,`CONSTANT_TYPE`,`CONSTANT_TYPE_NAME`,`CONSTANT_NAME`,`CONSTANT_VALUE`,`DEL_FLG`,`CRT_ID`,`CRT_TIME`,`UPD_ID`,`UPD_TIME`,`ACT_ID`,`ACT_TIME`,`VER`) VALUES ('168', '分批发货确认', 'SplitDeliveryFlg', '是', '1', '0', 'admin', now(), 'admin', now(), 'admin', now(), 1);</v>
      </c>
    </row>
    <row r="173" spans="2:11">
      <c r="B173" s="44">
        <f t="shared" si="0"/>
        <v>169</v>
      </c>
      <c r="C173" s="76" t="s">
        <v>127</v>
      </c>
      <c r="D173" s="76" t="s">
        <v>128</v>
      </c>
      <c r="E173" s="76" t="s">
        <v>130</v>
      </c>
      <c r="F173" s="77">
        <v>2</v>
      </c>
      <c r="G173" s="76">
        <v>1</v>
      </c>
      <c r="H173" s="44" t="s">
        <v>41</v>
      </c>
      <c r="I173" s="45"/>
      <c r="K173" s="19"/>
    </row>
    <row r="174" spans="2:11">
      <c r="B174" s="44">
        <f t="shared" si="0"/>
        <v>170</v>
      </c>
      <c r="C174" s="76" t="s">
        <v>127</v>
      </c>
      <c r="D174" s="76" t="s">
        <v>128</v>
      </c>
      <c r="E174" s="76" t="s">
        <v>131</v>
      </c>
      <c r="F174" s="77">
        <v>3</v>
      </c>
      <c r="G174" s="76">
        <v>1</v>
      </c>
      <c r="H174" s="44" t="s">
        <v>41</v>
      </c>
      <c r="I174" s="45"/>
      <c r="K174" s="19"/>
    </row>
    <row r="175" spans="2:11">
      <c r="B175" s="44">
        <f t="shared" si="0"/>
        <v>171</v>
      </c>
      <c r="C175" s="44" t="s">
        <v>132</v>
      </c>
      <c r="D175" s="44" t="s">
        <v>133</v>
      </c>
      <c r="E175" s="44" t="s">
        <v>134</v>
      </c>
      <c r="F175" s="67">
        <v>0</v>
      </c>
      <c r="G175" s="44">
        <v>0</v>
      </c>
      <c r="H175" s="44" t="s">
        <v>41</v>
      </c>
      <c r="I175" s="45" t="s">
        <v>135</v>
      </c>
      <c r="K175" s="19" t="str">
        <f t="shared" si="4"/>
        <v>INSERT INTO `comm_constant` (`ID`,`CONSTANT_TYPE`,`CONSTANT_TYPE_NAME`,`CONSTANT_NAME`,`CONSTANT_VALUE`,`DEL_FLG`,`CRT_ID`,`CRT_TIME`,`UPD_ID`,`UPD_TIME`,`ACT_ID`,`ACT_TIME`,`VER`) VALUES ('171', '拣货差异状态', 'PickDiff', '无差异', '0', '0', 'admin', now(), 'admin', now(), 'admin', now(), 1);</v>
      </c>
    </row>
    <row r="176" spans="2:11">
      <c r="B176" s="44">
        <f t="shared" si="0"/>
        <v>172</v>
      </c>
      <c r="C176" s="44" t="s">
        <v>132</v>
      </c>
      <c r="D176" s="44" t="s">
        <v>133</v>
      </c>
      <c r="E176" s="44" t="s">
        <v>136</v>
      </c>
      <c r="F176" s="67">
        <v>1</v>
      </c>
      <c r="G176" s="44">
        <v>0</v>
      </c>
      <c r="H176" s="44" t="s">
        <v>41</v>
      </c>
      <c r="I176" s="45"/>
      <c r="K176" s="19" t="str">
        <f t="shared" si="4"/>
        <v>INSERT INTO `comm_constant` (`ID`,`CONSTANT_TYPE`,`CONSTANT_TYPE_NAME`,`CONSTANT_NAME`,`CONSTANT_VALUE`,`DEL_FLG`,`CRT_ID`,`CRT_TIME`,`UPD_ID`,`UPD_TIME`,`ACT_ID`,`ACT_TIME`,`VER`) VALUES ('172', '拣货差异状态', 'PickDiff', '发生差异', '1', '0', 'admin', now(), 'admin', now(), 'admin', now(), 1);</v>
      </c>
    </row>
    <row r="177" spans="2:11">
      <c r="B177" s="44">
        <f t="shared" si="0"/>
        <v>173</v>
      </c>
      <c r="C177" s="44" t="s">
        <v>132</v>
      </c>
      <c r="D177" s="44" t="s">
        <v>133</v>
      </c>
      <c r="E177" s="44" t="s">
        <v>137</v>
      </c>
      <c r="F177" s="67">
        <v>2</v>
      </c>
      <c r="G177" s="44">
        <v>0</v>
      </c>
      <c r="H177" s="44" t="s">
        <v>41</v>
      </c>
      <c r="I177" s="45"/>
      <c r="K177" s="19" t="str">
        <f t="shared" si="4"/>
        <v>INSERT INTO `comm_constant` (`ID`,`CONSTANT_TYPE`,`CONSTANT_TYPE_NAME`,`CONSTANT_NAME`,`CONSTANT_VALUE`,`DEL_FLG`,`CRT_ID`,`CRT_TIME`,`UPD_ID`,`UPD_TIME`,`ACT_ID`,`ACT_TIME`,`VER`) VALUES ('173', '拣货差异状态', 'PickDiff', '买家同意差异', '2', '0', 'admin', now(), 'admin', now(), 'admin', now(), 1);</v>
      </c>
    </row>
    <row r="178" spans="2:11">
      <c r="B178" s="44">
        <f t="shared" si="0"/>
        <v>174</v>
      </c>
      <c r="C178" s="44" t="s">
        <v>132</v>
      </c>
      <c r="D178" s="44" t="s">
        <v>133</v>
      </c>
      <c r="E178" s="44" t="s">
        <v>131</v>
      </c>
      <c r="F178" s="67">
        <v>3</v>
      </c>
      <c r="G178" s="44">
        <v>0</v>
      </c>
      <c r="H178" s="44" t="s">
        <v>41</v>
      </c>
      <c r="I178" s="45"/>
      <c r="K178" s="19" t="str">
        <f t="shared" si="4"/>
        <v>INSERT INTO `comm_constant` (`ID`,`CONSTANT_TYPE`,`CONSTANT_TYPE_NAME`,`CONSTANT_NAME`,`CONSTANT_VALUE`,`DEL_FLG`,`CRT_ID`,`CRT_TIME`,`UPD_ID`,`UPD_TIME`,`ACT_ID`,`ACT_TIME`,`VER`) VALUES ('174', '拣货差异状态', 'PickDiff', '买家确认取消', '3', '0', 'admin', now(), 'admin', now(), 'admin', now(), 1);</v>
      </c>
    </row>
    <row r="179" spans="2:11" ht="24">
      <c r="B179" s="44">
        <f t="shared" si="0"/>
        <v>175</v>
      </c>
      <c r="C179" s="44" t="s">
        <v>138</v>
      </c>
      <c r="D179" s="44" t="s">
        <v>139</v>
      </c>
      <c r="E179" s="44" t="s">
        <v>140</v>
      </c>
      <c r="F179" s="67">
        <v>1</v>
      </c>
      <c r="G179" s="44">
        <v>0</v>
      </c>
      <c r="H179" s="44" t="s">
        <v>41</v>
      </c>
      <c r="I179" s="45" t="s">
        <v>141</v>
      </c>
      <c r="K179" s="19" t="str">
        <f t="shared" si="4"/>
        <v>INSERT INTO `comm_constant` (`ID`,`CONSTANT_TYPE`,`CONSTANT_TYPE_NAME`,`CONSTANT_NAME`,`CONSTANT_VALUE`,`DEL_FLG`,`CRT_ID`,`CRT_TIME`,`UPD_ID`,`UPD_TIME`,`ACT_ID`,`ACT_TIME`,`VER`) VALUES ('175', 'DeliveryType', '配送方式', '汽车配送', '1', '0', 'admin', now(), 'admin', now(), 'admin', now(), 1);</v>
      </c>
    </row>
    <row r="180" spans="2:11">
      <c r="B180" s="44">
        <f t="shared" si="0"/>
        <v>176</v>
      </c>
      <c r="C180" s="44" t="s">
        <v>138</v>
      </c>
      <c r="D180" s="44" t="s">
        <v>139</v>
      </c>
      <c r="E180" s="44" t="s">
        <v>142</v>
      </c>
      <c r="F180" s="67">
        <v>2</v>
      </c>
      <c r="G180" s="44">
        <v>0</v>
      </c>
      <c r="H180" s="44" t="s">
        <v>41</v>
      </c>
      <c r="I180" s="45"/>
      <c r="K180" s="19" t="str">
        <f t="shared" si="4"/>
        <v>INSERT INTO `comm_constant` (`ID`,`CONSTANT_TYPE`,`CONSTANT_TYPE_NAME`,`CONSTANT_NAME`,`CONSTANT_VALUE`,`DEL_FLG`,`CRT_ID`,`CRT_TIME`,`UPD_ID`,`UPD_TIME`,`ACT_ID`,`ACT_TIME`,`VER`) VALUES ('176', 'DeliveryType', '配送方式', '空运', '2', '0', 'admin', now(), 'admin', now(), 'admin', now(), 1);</v>
      </c>
    </row>
    <row r="181" spans="2:11">
      <c r="B181" s="44">
        <f t="shared" si="0"/>
        <v>177</v>
      </c>
      <c r="C181" s="44" t="s">
        <v>143</v>
      </c>
      <c r="D181" s="44" t="s">
        <v>144</v>
      </c>
      <c r="E181" s="44" t="s">
        <v>145</v>
      </c>
      <c r="F181" s="67">
        <v>1</v>
      </c>
      <c r="G181" s="44">
        <v>0</v>
      </c>
      <c r="H181" s="44" t="s">
        <v>41</v>
      </c>
      <c r="I181" s="45" t="s">
        <v>146</v>
      </c>
      <c r="K181" s="19" t="str">
        <f t="shared" si="4"/>
        <v>INSERT INTO `comm_constant` (`ID`,`CONSTANT_TYPE`,`CONSTANT_TYPE_NAME`,`CONSTANT_NAME`,`CONSTANT_VALUE`,`DEL_FLG`,`CRT_ID`,`CRT_TIME`,`UPD_ID`,`UPD_TIME`,`ACT_ID`,`ACT_TIME`,`VER`) VALUES ('177', '库存类别', 'StockType', '正常库存', '1', '0', 'admin', now(), 'admin', now(), 'admin', now(), 1);</v>
      </c>
    </row>
    <row r="182" spans="2:11">
      <c r="B182" s="44">
        <f t="shared" si="0"/>
        <v>178</v>
      </c>
      <c r="C182" s="44" t="s">
        <v>143</v>
      </c>
      <c r="D182" s="44" t="s">
        <v>144</v>
      </c>
      <c r="E182" s="44" t="s">
        <v>147</v>
      </c>
      <c r="F182" s="67">
        <v>2</v>
      </c>
      <c r="G182" s="44">
        <v>0</v>
      </c>
      <c r="H182" s="44" t="s">
        <v>41</v>
      </c>
      <c r="I182" s="45"/>
      <c r="K182" s="19" t="str">
        <f t="shared" si="4"/>
        <v>INSERT INTO `comm_constant` (`ID`,`CONSTANT_TYPE`,`CONSTANT_TYPE_NAME`,`CONSTANT_NAME`,`CONSTANT_VALUE`,`DEL_FLG`,`CRT_ID`,`CRT_TIME`,`UPD_ID`,`UPD_TIME`,`ACT_ID`,`ACT_TIME`,`VER`) VALUES ('178', '库存类别', 'StockType', '非正常库存', '2', '0', 'admin', now(), 'admin', now(), 'admin', now(), 1);</v>
      </c>
    </row>
    <row r="183" spans="2:11">
      <c r="B183" s="44">
        <f t="shared" si="0"/>
        <v>179</v>
      </c>
      <c r="C183" s="44" t="s">
        <v>143</v>
      </c>
      <c r="D183" s="44" t="s">
        <v>144</v>
      </c>
      <c r="E183" s="44" t="s">
        <v>148</v>
      </c>
      <c r="F183" s="67">
        <v>3</v>
      </c>
      <c r="G183" s="44">
        <v>0</v>
      </c>
      <c r="H183" s="44" t="s">
        <v>41</v>
      </c>
      <c r="I183" s="45"/>
      <c r="K183" s="19" t="str">
        <f t="shared" si="4"/>
        <v>INSERT INTO `comm_constant` (`ID`,`CONSTANT_TYPE`,`CONSTANT_TYPE_NAME`,`CONSTANT_NAME`,`CONSTANT_VALUE`,`DEL_FLG`,`CRT_ID`,`CRT_TIME`,`UPD_ID`,`UPD_TIME`,`ACT_ID`,`ACT_TIME`,`VER`) VALUES ('179', '库存类别', 'StockType', '促销库存', '3', '0', 'admin', now(), 'admin', now(), 'admin', now(), 1);</v>
      </c>
    </row>
    <row r="184" spans="2:11">
      <c r="B184" s="44">
        <f t="shared" si="0"/>
        <v>180</v>
      </c>
      <c r="C184" s="44" t="s">
        <v>999</v>
      </c>
      <c r="D184" s="44" t="s">
        <v>1312</v>
      </c>
      <c r="E184" s="44" t="s">
        <v>44</v>
      </c>
      <c r="F184" s="67">
        <v>1</v>
      </c>
      <c r="G184" s="44">
        <v>0</v>
      </c>
      <c r="H184" s="44" t="s">
        <v>41</v>
      </c>
      <c r="I184" s="45" t="s">
        <v>149</v>
      </c>
      <c r="K184" s="19" t="str">
        <f t="shared" si="4"/>
        <v>INSERT INTO `comm_constant` (`ID`,`CONSTANT_TYPE`,`CONSTANT_TYPE_NAME`,`CONSTANT_NAME`,`CONSTANT_VALUE`,`DEL_FLG`,`CRT_ID`,`CRT_TIME`,`UPD_ID`,`UPD_TIME`,`ACT_ID`,`ACT_TIME`,`VER`) VALUES ('180', 'SupplyPlatform', '供货平台', '云冻品平台', '1', '0', 'admin', now(), 'admin', now(), 'admin', now(), 1);</v>
      </c>
    </row>
    <row r="185" spans="2:11">
      <c r="B185" s="44">
        <f t="shared" si="0"/>
        <v>181</v>
      </c>
      <c r="C185" s="44" t="s">
        <v>999</v>
      </c>
      <c r="D185" s="44" t="s">
        <v>1312</v>
      </c>
      <c r="E185" s="44" t="s">
        <v>45</v>
      </c>
      <c r="F185" s="67">
        <v>2</v>
      </c>
      <c r="G185" s="44">
        <v>0</v>
      </c>
      <c r="H185" s="44" t="s">
        <v>41</v>
      </c>
      <c r="I185" s="45"/>
      <c r="K185" s="19" t="str">
        <f t="shared" si="4"/>
        <v>INSERT INTO `comm_constant` (`ID`,`CONSTANT_TYPE`,`CONSTANT_TYPE_NAME`,`CONSTANT_NAME`,`CONSTANT_VALUE`,`DEL_FLG`,`CRT_ID`,`CRT_TIME`,`UPD_ID`,`UPD_TIME`,`ACT_ID`,`ACT_TIME`,`VER`) VALUES ('181', 'SupplyPlatform', '供货平台', '云冻品B2B平台', '2', '0', 'admin', now(), 'admin', now(), 'admin', now(), 1);</v>
      </c>
    </row>
    <row r="186" spans="2:11">
      <c r="B186" s="44">
        <f t="shared" si="0"/>
        <v>182</v>
      </c>
      <c r="C186" s="44" t="s">
        <v>999</v>
      </c>
      <c r="D186" s="44" t="s">
        <v>1312</v>
      </c>
      <c r="E186" s="44" t="s">
        <v>150</v>
      </c>
      <c r="F186" s="67">
        <v>3</v>
      </c>
      <c r="G186" s="44">
        <v>0</v>
      </c>
      <c r="H186" s="44" t="s">
        <v>41</v>
      </c>
      <c r="I186" s="45"/>
      <c r="K186" s="19" t="str">
        <f t="shared" si="4"/>
        <v>INSERT INTO `comm_constant` (`ID`,`CONSTANT_TYPE`,`CONSTANT_TYPE_NAME`,`CONSTANT_NAME`,`CONSTANT_VALUE`,`DEL_FLG`,`CRT_ID`,`CRT_TIME`,`UPD_ID`,`UPD_TIME`,`ACT_ID`,`ACT_TIME`,`VER`) VALUES ('182', 'SupplyPlatform', '供货平台', '微商城平台', '3', '0', 'admin', now(), 'admin', now(), 'admin', now(), 1);</v>
      </c>
    </row>
    <row r="187" spans="2:11">
      <c r="B187" s="44">
        <f t="shared" si="0"/>
        <v>183</v>
      </c>
      <c r="C187" s="44" t="s">
        <v>151</v>
      </c>
      <c r="D187" s="44" t="s">
        <v>152</v>
      </c>
      <c r="E187" s="44" t="s">
        <v>153</v>
      </c>
      <c r="F187" s="67">
        <v>1</v>
      </c>
      <c r="G187" s="44">
        <v>0</v>
      </c>
      <c r="H187" s="44" t="s">
        <v>41</v>
      </c>
      <c r="I187" s="45"/>
      <c r="K187" s="19" t="str">
        <f t="shared" si="4"/>
        <v>INSERT INTO `comm_constant` (`ID`,`CONSTANT_TYPE`,`CONSTANT_TYPE_NAME`,`CONSTANT_NAME`,`CONSTANT_VALUE`,`DEL_FLG`,`CRT_ID`,`CRT_TIME`,`UPD_ID`,`UPD_TIME`,`ACT_ID`,`ACT_TIME`,`VER`) VALUES ('183', '需求状态', 'ProOrderStatus', '待审批', '1', '0', 'admin', now(), 'admin', now(), 'admin', now(), 1);</v>
      </c>
    </row>
    <row r="188" spans="2:11">
      <c r="B188" s="44">
        <f t="shared" si="0"/>
        <v>184</v>
      </c>
      <c r="C188" s="44" t="s">
        <v>151</v>
      </c>
      <c r="D188" s="44" t="s">
        <v>152</v>
      </c>
      <c r="E188" s="44" t="s">
        <v>154</v>
      </c>
      <c r="F188" s="67">
        <v>2</v>
      </c>
      <c r="G188" s="44">
        <v>0</v>
      </c>
      <c r="H188" s="44" t="s">
        <v>41</v>
      </c>
      <c r="I188" s="45"/>
      <c r="K188" s="19" t="str">
        <f t="shared" si="4"/>
        <v>INSERT INTO `comm_constant` (`ID`,`CONSTANT_TYPE`,`CONSTANT_TYPE_NAME`,`CONSTANT_NAME`,`CONSTANT_VALUE`,`DEL_FLG`,`CRT_ID`,`CRT_TIME`,`UPD_ID`,`UPD_TIME`,`ACT_ID`,`ACT_TIME`,`VER`) VALUES ('184', '需求状态', 'ProOrderStatus', '已审批', '2', '0', 'admin', now(), 'admin', now(), 'admin', now(), 1);</v>
      </c>
    </row>
    <row r="189" spans="2:11">
      <c r="B189" s="44">
        <f t="shared" si="0"/>
        <v>185</v>
      </c>
      <c r="C189" s="44" t="s">
        <v>155</v>
      </c>
      <c r="D189" s="44" t="s">
        <v>156</v>
      </c>
      <c r="E189" s="44" t="s">
        <v>157</v>
      </c>
      <c r="F189" s="67">
        <v>1</v>
      </c>
      <c r="G189" s="44">
        <v>0</v>
      </c>
      <c r="H189" s="45" t="s">
        <v>1000</v>
      </c>
      <c r="I189" s="45"/>
      <c r="K189" s="19" t="str">
        <f t="shared" si="4"/>
        <v>INSERT INTO `comm_constant` (`ID`,`CONSTANT_TYPE`,`CONSTANT_TYPE_NAME`,`CONSTANT_NAME`,`CONSTANT_VALUE`,`DEL_FLG`,`CRT_ID`,`CRT_TIME`,`UPD_ID`,`UPD_TIME`,`ACT_ID`,`ACT_TIME`,`VER`) VALUES ('185', 'OrderStatus', '订单状态', '新建', '1', '0', 'admin', now(), 'admin', now(), 'admin', now(), 1);</v>
      </c>
    </row>
    <row r="190" spans="2:11">
      <c r="B190" s="44">
        <f t="shared" si="0"/>
        <v>186</v>
      </c>
      <c r="C190" s="44" t="s">
        <v>155</v>
      </c>
      <c r="D190" s="44" t="s">
        <v>156</v>
      </c>
      <c r="E190" s="44" t="s">
        <v>158</v>
      </c>
      <c r="F190" s="67">
        <v>2</v>
      </c>
      <c r="G190" s="44">
        <v>0</v>
      </c>
      <c r="H190" s="45" t="s">
        <v>1001</v>
      </c>
      <c r="I190" s="45"/>
      <c r="K190" s="19" t="str">
        <f t="shared" si="4"/>
        <v>INSERT INTO `comm_constant` (`ID`,`CONSTANT_TYPE`,`CONSTANT_TYPE_NAME`,`CONSTANT_NAME`,`CONSTANT_VALUE`,`DEL_FLG`,`CRT_ID`,`CRT_TIME`,`UPD_ID`,`UPD_TIME`,`ACT_ID`,`ACT_TIME`,`VER`) VALUES ('186', 'OrderStatus', '订单状态', '待付款', '2', '0', 'admin', now(), 'admin', now(), 'admin', now(), 1);</v>
      </c>
    </row>
    <row r="191" spans="2:11">
      <c r="B191" s="44">
        <f t="shared" si="0"/>
        <v>187</v>
      </c>
      <c r="C191" s="44" t="s">
        <v>155</v>
      </c>
      <c r="D191" s="44" t="s">
        <v>156</v>
      </c>
      <c r="E191" s="44" t="s">
        <v>159</v>
      </c>
      <c r="F191" s="67">
        <v>3</v>
      </c>
      <c r="G191" s="44">
        <v>0</v>
      </c>
      <c r="H191" s="45" t="s">
        <v>1001</v>
      </c>
      <c r="I191" s="45"/>
      <c r="K191" s="19" t="str">
        <f t="shared" si="4"/>
        <v>INSERT INTO `comm_constant` (`ID`,`CONSTANT_TYPE`,`CONSTANT_TYPE_NAME`,`CONSTANT_NAME`,`CONSTANT_VALUE`,`DEL_FLG`,`CRT_ID`,`CRT_TIME`,`UPD_ID`,`UPD_TIME`,`ACT_ID`,`ACT_TIME`,`VER`) VALUES ('187', 'OrderStatus', '订单状态', '已付款', '3', '0', 'admin', now(), 'admin', now(), 'admin', now(), 1);</v>
      </c>
    </row>
    <row r="192" spans="2:11">
      <c r="B192" s="44">
        <f t="shared" si="0"/>
        <v>188</v>
      </c>
      <c r="C192" s="44" t="s">
        <v>155</v>
      </c>
      <c r="D192" s="44" t="s">
        <v>156</v>
      </c>
      <c r="E192" s="44" t="s">
        <v>160</v>
      </c>
      <c r="F192" s="67">
        <v>4</v>
      </c>
      <c r="G192" s="44">
        <v>0</v>
      </c>
      <c r="H192" s="45" t="s">
        <v>1002</v>
      </c>
      <c r="I192" s="45"/>
      <c r="K192" s="19" t="str">
        <f t="shared" si="4"/>
        <v>INSERT INTO `comm_constant` (`ID`,`CONSTANT_TYPE`,`CONSTANT_TYPE_NAME`,`CONSTANT_NAME`,`CONSTANT_VALUE`,`DEL_FLG`,`CRT_ID`,`CRT_TIME`,`UPD_ID`,`UPD_TIME`,`ACT_ID`,`ACT_TIME`,`VER`) VALUES ('188', 'OrderStatus', '订单状态', '待审核', '4', '0', 'admin', now(), 'admin', now(), 'admin', now(), 1);</v>
      </c>
    </row>
    <row r="193" spans="2:11">
      <c r="B193" s="44">
        <f t="shared" si="0"/>
        <v>189</v>
      </c>
      <c r="C193" s="44" t="s">
        <v>155</v>
      </c>
      <c r="D193" s="44" t="s">
        <v>156</v>
      </c>
      <c r="E193" s="44" t="s">
        <v>161</v>
      </c>
      <c r="F193" s="67">
        <v>5</v>
      </c>
      <c r="G193" s="44">
        <v>0</v>
      </c>
      <c r="H193" s="45" t="s">
        <v>1002</v>
      </c>
      <c r="I193" s="45"/>
      <c r="K193" s="19" t="str">
        <f t="shared" si="4"/>
        <v>INSERT INTO `comm_constant` (`ID`,`CONSTANT_TYPE`,`CONSTANT_TYPE_NAME`,`CONSTANT_NAME`,`CONSTANT_VALUE`,`DEL_FLG`,`CRT_ID`,`CRT_TIME`,`UPD_ID`,`UPD_TIME`,`ACT_ID`,`ACT_TIME`,`VER`) VALUES ('189', 'OrderStatus', '订单状态', '已审核', '5', '0', 'admin', now(), 'admin', now(), 'admin', now(), 1);</v>
      </c>
    </row>
    <row r="194" spans="2:11">
      <c r="B194" s="44">
        <f t="shared" si="0"/>
        <v>190</v>
      </c>
      <c r="C194" s="44" t="s">
        <v>155</v>
      </c>
      <c r="D194" s="44" t="s">
        <v>156</v>
      </c>
      <c r="E194" s="44" t="s">
        <v>162</v>
      </c>
      <c r="F194" s="67">
        <v>6</v>
      </c>
      <c r="G194" s="44">
        <v>0</v>
      </c>
      <c r="H194" s="45" t="s">
        <v>1003</v>
      </c>
      <c r="I194" s="45"/>
      <c r="K194" s="19" t="str">
        <f t="shared" si="4"/>
        <v>INSERT INTO `comm_constant` (`ID`,`CONSTANT_TYPE`,`CONSTANT_TYPE_NAME`,`CONSTANT_NAME`,`CONSTANT_VALUE`,`DEL_FLG`,`CRT_ID`,`CRT_TIME`,`UPD_ID`,`UPD_TIME`,`ACT_ID`,`ACT_TIME`,`VER`) VALUES ('190', 'OrderStatus', '订单状态', '待分销', '6', '0', 'admin', now(), 'admin', now(), 'admin', now(), 1);</v>
      </c>
    </row>
    <row r="195" spans="2:11">
      <c r="B195" s="44">
        <f t="shared" si="0"/>
        <v>191</v>
      </c>
      <c r="C195" s="44" t="s">
        <v>155</v>
      </c>
      <c r="D195" s="44" t="s">
        <v>156</v>
      </c>
      <c r="E195" s="44" t="s">
        <v>163</v>
      </c>
      <c r="F195" s="67">
        <v>7</v>
      </c>
      <c r="G195" s="44">
        <v>0</v>
      </c>
      <c r="H195" s="45" t="s">
        <v>1004</v>
      </c>
      <c r="I195" s="45"/>
      <c r="K195" s="19" t="str">
        <f t="shared" si="4"/>
        <v>INSERT INTO `comm_constant` (`ID`,`CONSTANT_TYPE`,`CONSTANT_TYPE_NAME`,`CONSTANT_NAME`,`CONSTANT_VALUE`,`DEL_FLG`,`CRT_ID`,`CRT_TIME`,`UPD_ID`,`UPD_TIME`,`ACT_ID`,`ACT_TIME`,`VER`) VALUES ('191', 'OrderStatus', '订单状态', '分销中', '7', '0', 'admin', now(), 'admin', now(), 'admin', now(), 1);</v>
      </c>
    </row>
    <row r="196" spans="2:11">
      <c r="B196" s="44">
        <f t="shared" si="0"/>
        <v>192</v>
      </c>
      <c r="C196" s="44" t="s">
        <v>155</v>
      </c>
      <c r="D196" s="44" t="s">
        <v>156</v>
      </c>
      <c r="E196" s="44" t="s">
        <v>164</v>
      </c>
      <c r="F196" s="67">
        <v>8</v>
      </c>
      <c r="G196" s="44">
        <v>0</v>
      </c>
      <c r="H196" s="45" t="s">
        <v>1005</v>
      </c>
      <c r="I196" s="45"/>
      <c r="K196" s="19" t="str">
        <f t="shared" si="4"/>
        <v>INSERT INTO `comm_constant` (`ID`,`CONSTANT_TYPE`,`CONSTANT_TYPE_NAME`,`CONSTANT_NAME`,`CONSTANT_VALUE`,`DEL_FLG`,`CRT_ID`,`CRT_TIME`,`UPD_ID`,`UPD_TIME`,`ACT_ID`,`ACT_TIME`,`VER`) VALUES ('192', 'OrderStatus', '订单状态', '已确认', '8', '0', 'admin', now(), 'admin', now(), 'admin', now(), 1);</v>
      </c>
    </row>
    <row r="197" spans="2:11">
      <c r="B197" s="44">
        <f t="shared" si="0"/>
        <v>193</v>
      </c>
      <c r="C197" s="44" t="s">
        <v>155</v>
      </c>
      <c r="D197" s="44" t="s">
        <v>156</v>
      </c>
      <c r="E197" s="44" t="s">
        <v>165</v>
      </c>
      <c r="F197" s="67">
        <v>9</v>
      </c>
      <c r="G197" s="44">
        <v>0</v>
      </c>
      <c r="H197" s="45" t="s">
        <v>1006</v>
      </c>
      <c r="I197" s="45"/>
      <c r="K197" s="19" t="str">
        <f t="shared" si="4"/>
        <v>INSERT INTO `comm_constant` (`ID`,`CONSTANT_TYPE`,`CONSTANT_TYPE_NAME`,`CONSTANT_NAME`,`CONSTANT_VALUE`,`DEL_FLG`,`CRT_ID`,`CRT_TIME`,`UPD_ID`,`UPD_TIME`,`ACT_ID`,`ACT_TIME`,`VER`) VALUES ('193', 'OrderStatus', '订单状态', '待发货', '9', '0', 'admin', now(), 'admin', now(), 'admin', now(), 1);</v>
      </c>
    </row>
    <row r="198" spans="2:11">
      <c r="B198" s="44">
        <f t="shared" si="0"/>
        <v>194</v>
      </c>
      <c r="C198" s="44" t="s">
        <v>155</v>
      </c>
      <c r="D198" s="44" t="s">
        <v>156</v>
      </c>
      <c r="E198" s="44" t="s">
        <v>166</v>
      </c>
      <c r="F198" s="67">
        <v>10</v>
      </c>
      <c r="G198" s="44">
        <v>0</v>
      </c>
      <c r="H198" s="45" t="s">
        <v>1006</v>
      </c>
      <c r="I198" s="45"/>
      <c r="K198" s="19" t="str">
        <f t="shared" ref="K198:K263" si="5">"INSERT INTO `comm_constant` (`ID`,`CONSTANT_TYPE`,`CONSTANT_TYPE_NAME`,`CONSTANT_NAME`,`CONSTANT_VALUE`,`DEL_FLG`,`CRT_ID`,`CRT_TIME`,`UPD_ID`,`UPD_TIME`,`ACT_ID`,`ACT_TIME`,`VER`) VALUES ("&amp;IF(B198="","NULL","'"&amp;B198&amp;"'")&amp;", "&amp;IF(C198="","NULL","'"&amp;C198&amp;"'")&amp;", "&amp;IF(D198="","NULL","'"&amp;D198&amp;"'")&amp;", "&amp;IF(E198="","NULL","'"&amp;E198&amp;"'")&amp;", "&amp;IF(F198="","NULL","'"&amp;F198&amp;"'")&amp;", "&amp;IF(G198="","NULL","'"&amp;G198&amp;"'")&amp;", 'admin', now(), 'admin', now(), 'admin', now(), 1);"</f>
        <v>INSERT INTO `comm_constant` (`ID`,`CONSTANT_TYPE`,`CONSTANT_TYPE_NAME`,`CONSTANT_NAME`,`CONSTANT_VALUE`,`DEL_FLG`,`CRT_ID`,`CRT_TIME`,`UPD_ID`,`UPD_TIME`,`ACT_ID`,`ACT_TIME`,`VER`) VALUES ('194', 'OrderStatus', '订单状态', '部分发货', '10', '0', 'admin', now(), 'admin', now(), 'admin', now(), 1);</v>
      </c>
    </row>
    <row r="199" spans="2:11">
      <c r="B199" s="44">
        <f t="shared" si="0"/>
        <v>195</v>
      </c>
      <c r="C199" s="44" t="s">
        <v>155</v>
      </c>
      <c r="D199" s="44" t="s">
        <v>156</v>
      </c>
      <c r="E199" s="44" t="s">
        <v>167</v>
      </c>
      <c r="F199" s="67">
        <v>11</v>
      </c>
      <c r="G199" s="44">
        <v>0</v>
      </c>
      <c r="H199" s="45" t="s">
        <v>1006</v>
      </c>
      <c r="I199" s="45"/>
      <c r="K199" s="19" t="str">
        <f t="shared" si="5"/>
        <v>INSERT INTO `comm_constant` (`ID`,`CONSTANT_TYPE`,`CONSTANT_TYPE_NAME`,`CONSTANT_NAME`,`CONSTANT_VALUE`,`DEL_FLG`,`CRT_ID`,`CRT_TIME`,`UPD_ID`,`UPD_TIME`,`ACT_ID`,`ACT_TIME`,`VER`) VALUES ('195', 'OrderStatus', '订单状态', '部分收货', '11', '0', 'admin', now(), 'admin', now(), 'admin', now(), 1);</v>
      </c>
    </row>
    <row r="200" spans="2:11">
      <c r="B200" s="44">
        <f t="shared" si="0"/>
        <v>196</v>
      </c>
      <c r="C200" s="44" t="s">
        <v>155</v>
      </c>
      <c r="D200" s="44" t="s">
        <v>156</v>
      </c>
      <c r="E200" s="44" t="s">
        <v>168</v>
      </c>
      <c r="F200" s="67">
        <v>12</v>
      </c>
      <c r="G200" s="44">
        <v>0</v>
      </c>
      <c r="H200" s="45" t="s">
        <v>1006</v>
      </c>
      <c r="I200" s="45"/>
      <c r="K200" s="19" t="str">
        <f t="shared" si="5"/>
        <v>INSERT INTO `comm_constant` (`ID`,`CONSTANT_TYPE`,`CONSTANT_TYPE_NAME`,`CONSTANT_NAME`,`CONSTANT_VALUE`,`DEL_FLG`,`CRT_ID`,`CRT_TIME`,`UPD_ID`,`UPD_TIME`,`ACT_ID`,`ACT_TIME`,`VER`) VALUES ('196', 'OrderStatus', '订单状态', '全部发货', '12', '0', 'admin', now(), 'admin', now(), 'admin', now(), 1);</v>
      </c>
    </row>
    <row r="201" spans="2:11">
      <c r="B201" s="44">
        <f t="shared" si="0"/>
        <v>197</v>
      </c>
      <c r="C201" s="44" t="s">
        <v>155</v>
      </c>
      <c r="D201" s="44" t="s">
        <v>156</v>
      </c>
      <c r="E201" s="44" t="s">
        <v>1007</v>
      </c>
      <c r="F201" s="67">
        <v>13</v>
      </c>
      <c r="G201" s="44">
        <v>0</v>
      </c>
      <c r="H201" s="45" t="s">
        <v>1006</v>
      </c>
      <c r="I201" s="45"/>
      <c r="K201" s="19" t="str">
        <f t="shared" si="5"/>
        <v>INSERT INTO `comm_constant` (`ID`,`CONSTANT_TYPE`,`CONSTANT_TYPE_NAME`,`CONSTANT_NAME`,`CONSTANT_VALUE`,`DEL_FLG`,`CRT_ID`,`CRT_TIME`,`UPD_ID`,`UPD_TIME`,`ACT_ID`,`ACT_TIME`,`VER`) VALUES ('197', 'OrderStatus', '订单状态', '已完成', '13', '0', 'admin', now(), 'admin', now(), 'admin', now(), 1);</v>
      </c>
    </row>
    <row r="202" spans="2:11">
      <c r="B202" s="44">
        <f t="shared" ref="B202:B540" si="6">ROW()-4</f>
        <v>198</v>
      </c>
      <c r="C202" s="44" t="s">
        <v>155</v>
      </c>
      <c r="D202" s="44" t="s">
        <v>156</v>
      </c>
      <c r="E202" s="44" t="s">
        <v>170</v>
      </c>
      <c r="F202" s="67">
        <v>14</v>
      </c>
      <c r="G202" s="44">
        <v>0</v>
      </c>
      <c r="H202" s="45" t="s">
        <v>1006</v>
      </c>
      <c r="I202" s="45"/>
      <c r="K202" s="19" t="str">
        <f t="shared" si="5"/>
        <v>INSERT INTO `comm_constant` (`ID`,`CONSTANT_TYPE`,`CONSTANT_TYPE_NAME`,`CONSTANT_NAME`,`CONSTANT_VALUE`,`DEL_FLG`,`CRT_ID`,`CRT_TIME`,`UPD_ID`,`UPD_TIME`,`ACT_ID`,`ACT_TIME`,`VER`) VALUES ('198', 'OrderStatus', '订单状态', '分销失败', '14', '0', 'admin', now(), 'admin', now(), 'admin', now(), 1);</v>
      </c>
    </row>
    <row r="203" spans="2:11">
      <c r="B203" s="44">
        <f t="shared" si="6"/>
        <v>199</v>
      </c>
      <c r="C203" s="44" t="s">
        <v>155</v>
      </c>
      <c r="D203" s="44" t="s">
        <v>156</v>
      </c>
      <c r="E203" s="44" t="s">
        <v>606</v>
      </c>
      <c r="F203" s="67">
        <v>15</v>
      </c>
      <c r="G203" s="44">
        <v>0</v>
      </c>
      <c r="H203" s="45" t="s">
        <v>1006</v>
      </c>
      <c r="I203" s="45"/>
      <c r="K203" s="19" t="str">
        <f t="shared" si="5"/>
        <v>INSERT INTO `comm_constant` (`ID`,`CONSTANT_TYPE`,`CONSTANT_TYPE_NAME`,`CONSTANT_NAME`,`CONSTANT_VALUE`,`DEL_FLG`,`CRT_ID`,`CRT_TIME`,`UPD_ID`,`UPD_TIME`,`ACT_ID`,`ACT_TIME`,`VER`) VALUES ('199', 'OrderStatus', '订单状态', '部分分销 ', '15', '0', 'admin', now(), 'admin', now(), 'admin', now(), 1);</v>
      </c>
    </row>
    <row r="204" spans="2:11">
      <c r="B204" s="44">
        <f t="shared" si="6"/>
        <v>200</v>
      </c>
      <c r="C204" s="76" t="s">
        <v>155</v>
      </c>
      <c r="D204" s="76" t="s">
        <v>156</v>
      </c>
      <c r="E204" s="76" t="s">
        <v>797</v>
      </c>
      <c r="F204" s="77">
        <v>16</v>
      </c>
      <c r="G204" s="76">
        <v>1</v>
      </c>
      <c r="H204" s="45" t="s">
        <v>1006</v>
      </c>
      <c r="I204" s="45"/>
      <c r="K204" s="19"/>
    </row>
    <row r="205" spans="2:11">
      <c r="B205" s="44">
        <f t="shared" si="6"/>
        <v>201</v>
      </c>
      <c r="C205" s="44" t="s">
        <v>155</v>
      </c>
      <c r="D205" s="44" t="s">
        <v>156</v>
      </c>
      <c r="E205" s="44" t="s">
        <v>1008</v>
      </c>
      <c r="F205" s="67">
        <v>99</v>
      </c>
      <c r="G205" s="44">
        <v>0</v>
      </c>
      <c r="H205" s="45" t="s">
        <v>1006</v>
      </c>
      <c r="I205" s="45"/>
      <c r="K205" s="19" t="str">
        <f t="shared" si="5"/>
        <v>INSERT INTO `comm_constant` (`ID`,`CONSTANT_TYPE`,`CONSTANT_TYPE_NAME`,`CONSTANT_NAME`,`CONSTANT_VALUE`,`DEL_FLG`,`CRT_ID`,`CRT_TIME`,`UPD_ID`,`UPD_TIME`,`ACT_ID`,`ACT_TIME`,`VER`) VALUES ('201', 'OrderStatus', '订单状态', '已取消', '99', '0', 'admin', now(), 'admin', now(), 'admin', now(), 1);</v>
      </c>
    </row>
    <row r="206" spans="2:11">
      <c r="B206" s="44">
        <f t="shared" si="6"/>
        <v>202</v>
      </c>
      <c r="C206" s="44" t="s">
        <v>171</v>
      </c>
      <c r="D206" s="44" t="s">
        <v>172</v>
      </c>
      <c r="E206" s="44" t="s">
        <v>162</v>
      </c>
      <c r="F206" s="67">
        <v>1</v>
      </c>
      <c r="G206" s="44">
        <v>0</v>
      </c>
      <c r="H206" s="45" t="s">
        <v>1003</v>
      </c>
      <c r="I206" s="45"/>
      <c r="K206" s="19" t="str">
        <f t="shared" si="5"/>
        <v>INSERT INTO `comm_constant` (`ID`,`CONSTANT_TYPE`,`CONSTANT_TYPE_NAME`,`CONSTANT_NAME`,`CONSTANT_VALUE`,`DEL_FLG`,`CRT_ID`,`CRT_TIME`,`UPD_ID`,`UPD_TIME`,`ACT_ID`,`ACT_TIME`,`VER`) VALUES ('202', 'OrderDetailStatus', '订单详细状态', '待分销', '1', '0', 'admin', now(), 'admin', now(), 'admin', now(), 1);</v>
      </c>
    </row>
    <row r="207" spans="2:11">
      <c r="B207" s="44">
        <f t="shared" si="6"/>
        <v>203</v>
      </c>
      <c r="C207" s="44" t="s">
        <v>171</v>
      </c>
      <c r="D207" s="44" t="s">
        <v>172</v>
      </c>
      <c r="E207" s="44" t="s">
        <v>164</v>
      </c>
      <c r="F207" s="67">
        <v>2</v>
      </c>
      <c r="G207" s="44">
        <v>0</v>
      </c>
      <c r="H207" s="45" t="s">
        <v>1005</v>
      </c>
      <c r="I207" s="45"/>
      <c r="K207" s="19" t="str">
        <f t="shared" si="5"/>
        <v>INSERT INTO `comm_constant` (`ID`,`CONSTANT_TYPE`,`CONSTANT_TYPE_NAME`,`CONSTANT_NAME`,`CONSTANT_VALUE`,`DEL_FLG`,`CRT_ID`,`CRT_TIME`,`UPD_ID`,`UPD_TIME`,`ACT_ID`,`ACT_TIME`,`VER`) VALUES ('203', 'OrderDetailStatus', '订单详细状态', '已确认', '2', '0', 'admin', now(), 'admin', now(), 'admin', now(), 1);</v>
      </c>
    </row>
    <row r="208" spans="2:11">
      <c r="B208" s="44">
        <f t="shared" si="6"/>
        <v>204</v>
      </c>
      <c r="C208" s="44" t="s">
        <v>171</v>
      </c>
      <c r="D208" s="44" t="s">
        <v>172</v>
      </c>
      <c r="E208" s="44" t="s">
        <v>165</v>
      </c>
      <c r="F208" s="67">
        <v>3</v>
      </c>
      <c r="G208" s="44">
        <v>0</v>
      </c>
      <c r="H208" s="45" t="s">
        <v>1006</v>
      </c>
      <c r="I208" s="45"/>
      <c r="K208" s="19" t="str">
        <f t="shared" si="5"/>
        <v>INSERT INTO `comm_constant` (`ID`,`CONSTANT_TYPE`,`CONSTANT_TYPE_NAME`,`CONSTANT_NAME`,`CONSTANT_VALUE`,`DEL_FLG`,`CRT_ID`,`CRT_TIME`,`UPD_ID`,`UPD_TIME`,`ACT_ID`,`ACT_TIME`,`VER`) VALUES ('204', 'OrderDetailStatus', '订单详细状态', '待发货', '3', '0', 'admin', now(), 'admin', now(), 'admin', now(), 1);</v>
      </c>
    </row>
    <row r="209" spans="2:11">
      <c r="B209" s="44">
        <f t="shared" si="6"/>
        <v>205</v>
      </c>
      <c r="C209" s="44" t="s">
        <v>171</v>
      </c>
      <c r="D209" s="44" t="s">
        <v>172</v>
      </c>
      <c r="E209" s="44" t="s">
        <v>166</v>
      </c>
      <c r="F209" s="67">
        <v>4</v>
      </c>
      <c r="G209" s="44">
        <v>0</v>
      </c>
      <c r="H209" s="45" t="s">
        <v>1006</v>
      </c>
      <c r="I209" s="45"/>
      <c r="K209" s="19" t="str">
        <f t="shared" si="5"/>
        <v>INSERT INTO `comm_constant` (`ID`,`CONSTANT_TYPE`,`CONSTANT_TYPE_NAME`,`CONSTANT_NAME`,`CONSTANT_VALUE`,`DEL_FLG`,`CRT_ID`,`CRT_TIME`,`UPD_ID`,`UPD_TIME`,`ACT_ID`,`ACT_TIME`,`VER`) VALUES ('205', 'OrderDetailStatus', '订单详细状态', '部分发货', '4', '0', 'admin', now(), 'admin', now(), 'admin', now(), 1);</v>
      </c>
    </row>
    <row r="210" spans="2:11">
      <c r="B210" s="44">
        <f t="shared" si="6"/>
        <v>206</v>
      </c>
      <c r="C210" s="44" t="s">
        <v>171</v>
      </c>
      <c r="D210" s="44" t="s">
        <v>172</v>
      </c>
      <c r="E210" s="44" t="s">
        <v>167</v>
      </c>
      <c r="F210" s="67">
        <v>5</v>
      </c>
      <c r="G210" s="44">
        <v>0</v>
      </c>
      <c r="H210" s="45" t="s">
        <v>1006</v>
      </c>
      <c r="I210" s="45"/>
      <c r="K210" s="19" t="str">
        <f t="shared" si="5"/>
        <v>INSERT INTO `comm_constant` (`ID`,`CONSTANT_TYPE`,`CONSTANT_TYPE_NAME`,`CONSTANT_NAME`,`CONSTANT_VALUE`,`DEL_FLG`,`CRT_ID`,`CRT_TIME`,`UPD_ID`,`UPD_TIME`,`ACT_ID`,`ACT_TIME`,`VER`) VALUES ('206', 'OrderDetailStatus', '订单详细状态', '部分收货', '5', '0', 'admin', now(), 'admin', now(), 'admin', now(), 1);</v>
      </c>
    </row>
    <row r="211" spans="2:11">
      <c r="B211" s="44">
        <f t="shared" si="6"/>
        <v>207</v>
      </c>
      <c r="C211" s="44" t="s">
        <v>171</v>
      </c>
      <c r="D211" s="44" t="s">
        <v>172</v>
      </c>
      <c r="E211" s="44" t="s">
        <v>168</v>
      </c>
      <c r="F211" s="67">
        <v>6</v>
      </c>
      <c r="G211" s="44">
        <v>0</v>
      </c>
      <c r="H211" s="45" t="s">
        <v>1006</v>
      </c>
      <c r="I211" s="45"/>
      <c r="K211" s="19" t="str">
        <f t="shared" si="5"/>
        <v>INSERT INTO `comm_constant` (`ID`,`CONSTANT_TYPE`,`CONSTANT_TYPE_NAME`,`CONSTANT_NAME`,`CONSTANT_VALUE`,`DEL_FLG`,`CRT_ID`,`CRT_TIME`,`UPD_ID`,`UPD_TIME`,`ACT_ID`,`ACT_TIME`,`VER`) VALUES ('207', 'OrderDetailStatus', '订单详细状态', '全部发货', '6', '0', 'admin', now(), 'admin', now(), 'admin', now(), 1);</v>
      </c>
    </row>
    <row r="212" spans="2:11">
      <c r="B212" s="44">
        <f t="shared" si="6"/>
        <v>208</v>
      </c>
      <c r="C212" s="44" t="s">
        <v>1431</v>
      </c>
      <c r="D212" s="44" t="s">
        <v>1433</v>
      </c>
      <c r="E212" s="44" t="s">
        <v>1007</v>
      </c>
      <c r="F212" s="67">
        <v>7</v>
      </c>
      <c r="G212" s="44">
        <v>0</v>
      </c>
      <c r="H212" s="45" t="s">
        <v>1006</v>
      </c>
      <c r="I212" s="45"/>
      <c r="K212" s="19" t="str">
        <f t="shared" si="5"/>
        <v>INSERT INTO `comm_constant` (`ID`,`CONSTANT_TYPE`,`CONSTANT_TYPE_NAME`,`CONSTANT_NAME`,`CONSTANT_VALUE`,`DEL_FLG`,`CRT_ID`,`CRT_TIME`,`UPD_ID`,`UPD_TIME`,`ACT_ID`,`ACT_TIME`,`VER`) VALUES ('208', 'OrderDetailStatus', '订单详细状态', '已完成', '7', '0', 'admin', now(), 'admin', now(), 'admin', now(), 1);</v>
      </c>
    </row>
    <row r="213" spans="2:11">
      <c r="B213" s="44">
        <f t="shared" si="6"/>
        <v>209</v>
      </c>
      <c r="C213" s="44" t="s">
        <v>1432</v>
      </c>
      <c r="D213" s="44" t="s">
        <v>1434</v>
      </c>
      <c r="E213" s="44" t="s">
        <v>1435</v>
      </c>
      <c r="F213" s="67" t="s">
        <v>1398</v>
      </c>
      <c r="G213" s="44">
        <v>0</v>
      </c>
      <c r="H213" s="45" t="s">
        <v>1000</v>
      </c>
      <c r="I213" s="45"/>
      <c r="K213" s="19" t="str">
        <f t="shared" si="5"/>
        <v>INSERT INTO `comm_constant` (`ID`,`CONSTANT_TYPE`,`CONSTANT_TYPE_NAME`,`CONSTANT_NAME`,`CONSTANT_VALUE`,`DEL_FLG`,`CRT_ID`,`CRT_TIME`,`UPD_ID`,`UPD_TIME`,`ACT_ID`,`ACT_TIME`,`VER`) VALUES ('209', 'OrderDetailStatus', '订单详细状态', '待审核', '8', '0', 'admin', now(), 'admin', now(), 'admin', now(), 1);</v>
      </c>
    </row>
    <row r="214" spans="2:11">
      <c r="B214" s="44">
        <f t="shared" si="6"/>
        <v>210</v>
      </c>
      <c r="C214" s="44" t="s">
        <v>171</v>
      </c>
      <c r="D214" s="44" t="s">
        <v>172</v>
      </c>
      <c r="E214" s="44" t="s">
        <v>1008</v>
      </c>
      <c r="F214" s="67">
        <v>99</v>
      </c>
      <c r="G214" s="44">
        <v>0</v>
      </c>
      <c r="H214" s="45" t="s">
        <v>1006</v>
      </c>
      <c r="I214" s="45"/>
      <c r="K214" s="19" t="str">
        <f t="shared" si="5"/>
        <v>INSERT INTO `comm_constant` (`ID`,`CONSTANT_TYPE`,`CONSTANT_TYPE_NAME`,`CONSTANT_NAME`,`CONSTANT_VALUE`,`DEL_FLG`,`CRT_ID`,`CRT_TIME`,`UPD_ID`,`UPD_TIME`,`ACT_ID`,`ACT_TIME`,`VER`) VALUES ('210', 'OrderDetailStatus', '订单详细状态', '已取消', '99', '0', 'admin', now(), 'admin', now(), 'admin', now(), 1);</v>
      </c>
    </row>
    <row r="215" spans="2:11">
      <c r="B215" s="44">
        <f t="shared" si="6"/>
        <v>211</v>
      </c>
      <c r="C215" s="44" t="s">
        <v>173</v>
      </c>
      <c r="D215" s="44" t="s">
        <v>174</v>
      </c>
      <c r="E215" s="44" t="s">
        <v>164</v>
      </c>
      <c r="F215" s="67">
        <v>1</v>
      </c>
      <c r="G215" s="44">
        <v>0</v>
      </c>
      <c r="H215" s="45" t="s">
        <v>1005</v>
      </c>
      <c r="I215" s="45"/>
      <c r="K215" s="19" t="str">
        <f t="shared" si="5"/>
        <v>INSERT INTO `comm_constant` (`ID`,`CONSTANT_TYPE`,`CONSTANT_TYPE_NAME`,`CONSTANT_NAME`,`CONSTANT_VALUE`,`DEL_FLG`,`CRT_ID`,`CRT_TIME`,`UPD_ID`,`UPD_TIME`,`ACT_ID`,`ACT_TIME`,`VER`) VALUES ('211', 'OrderDetailAvailabilityStatus', '订单详细供应状态', '已确认', '1', '0', 'admin', now(), 'admin', now(), 'admin', now(), 1);</v>
      </c>
    </row>
    <row r="216" spans="2:11">
      <c r="B216" s="44">
        <f t="shared" si="6"/>
        <v>212</v>
      </c>
      <c r="C216" s="44" t="s">
        <v>173</v>
      </c>
      <c r="D216" s="44" t="s">
        <v>174</v>
      </c>
      <c r="E216" s="44" t="s">
        <v>165</v>
      </c>
      <c r="F216" s="67">
        <v>2</v>
      </c>
      <c r="G216" s="44">
        <v>0</v>
      </c>
      <c r="H216" s="45" t="s">
        <v>1006</v>
      </c>
      <c r="I216" s="45"/>
      <c r="K216" s="19" t="str">
        <f t="shared" si="5"/>
        <v>INSERT INTO `comm_constant` (`ID`,`CONSTANT_TYPE`,`CONSTANT_TYPE_NAME`,`CONSTANT_NAME`,`CONSTANT_VALUE`,`DEL_FLG`,`CRT_ID`,`CRT_TIME`,`UPD_ID`,`UPD_TIME`,`ACT_ID`,`ACT_TIME`,`VER`) VALUES ('212', 'OrderDetailAvailabilityStatus', '订单详细供应状态', '待发货', '2', '0', 'admin', now(), 'admin', now(), 'admin', now(), 1);</v>
      </c>
    </row>
    <row r="217" spans="2:11">
      <c r="B217" s="44">
        <f t="shared" si="6"/>
        <v>213</v>
      </c>
      <c r="C217" s="44" t="s">
        <v>173</v>
      </c>
      <c r="D217" s="44" t="s">
        <v>174</v>
      </c>
      <c r="E217" s="44" t="s">
        <v>166</v>
      </c>
      <c r="F217" s="67">
        <v>3</v>
      </c>
      <c r="G217" s="44">
        <v>0</v>
      </c>
      <c r="H217" s="45" t="s">
        <v>1006</v>
      </c>
      <c r="I217" s="45"/>
      <c r="K217" s="19" t="str">
        <f t="shared" si="5"/>
        <v>INSERT INTO `comm_constant` (`ID`,`CONSTANT_TYPE`,`CONSTANT_TYPE_NAME`,`CONSTANT_NAME`,`CONSTANT_VALUE`,`DEL_FLG`,`CRT_ID`,`CRT_TIME`,`UPD_ID`,`UPD_TIME`,`ACT_ID`,`ACT_TIME`,`VER`) VALUES ('213', 'OrderDetailAvailabilityStatus', '订单详细供应状态', '部分发货', '3', '0', 'admin', now(), 'admin', now(), 'admin', now(), 1);</v>
      </c>
    </row>
    <row r="218" spans="2:11">
      <c r="B218" s="44">
        <f t="shared" si="6"/>
        <v>214</v>
      </c>
      <c r="C218" s="44" t="s">
        <v>173</v>
      </c>
      <c r="D218" s="44" t="s">
        <v>174</v>
      </c>
      <c r="E218" s="44" t="s">
        <v>167</v>
      </c>
      <c r="F218" s="67">
        <v>4</v>
      </c>
      <c r="G218" s="44">
        <v>0</v>
      </c>
      <c r="H218" s="45" t="s">
        <v>1006</v>
      </c>
      <c r="I218" s="45"/>
      <c r="K218" s="19" t="str">
        <f t="shared" si="5"/>
        <v>INSERT INTO `comm_constant` (`ID`,`CONSTANT_TYPE`,`CONSTANT_TYPE_NAME`,`CONSTANT_NAME`,`CONSTANT_VALUE`,`DEL_FLG`,`CRT_ID`,`CRT_TIME`,`UPD_ID`,`UPD_TIME`,`ACT_ID`,`ACT_TIME`,`VER`) VALUES ('214', 'OrderDetailAvailabilityStatus', '订单详细供应状态', '部分收货', '4', '0', 'admin', now(), 'admin', now(), 'admin', now(), 1);</v>
      </c>
    </row>
    <row r="219" spans="2:11">
      <c r="B219" s="44">
        <f t="shared" si="6"/>
        <v>215</v>
      </c>
      <c r="C219" s="44" t="s">
        <v>173</v>
      </c>
      <c r="D219" s="44" t="s">
        <v>174</v>
      </c>
      <c r="E219" s="44" t="s">
        <v>168</v>
      </c>
      <c r="F219" s="67">
        <v>5</v>
      </c>
      <c r="G219" s="44">
        <v>0</v>
      </c>
      <c r="H219" s="45" t="s">
        <v>1006</v>
      </c>
      <c r="I219" s="45"/>
      <c r="K219" s="19" t="str">
        <f t="shared" si="5"/>
        <v>INSERT INTO `comm_constant` (`ID`,`CONSTANT_TYPE`,`CONSTANT_TYPE_NAME`,`CONSTANT_NAME`,`CONSTANT_VALUE`,`DEL_FLG`,`CRT_ID`,`CRT_TIME`,`UPD_ID`,`UPD_TIME`,`ACT_ID`,`ACT_TIME`,`VER`) VALUES ('215', 'OrderDetailAvailabilityStatus', '订单详细供应状态', '全部发货', '5', '0', 'admin', now(), 'admin', now(), 'admin', now(), 1);</v>
      </c>
    </row>
    <row r="220" spans="2:11">
      <c r="B220" s="44">
        <f t="shared" si="6"/>
        <v>216</v>
      </c>
      <c r="C220" s="44" t="s">
        <v>173</v>
      </c>
      <c r="D220" s="44" t="s">
        <v>174</v>
      </c>
      <c r="E220" s="44" t="s">
        <v>1007</v>
      </c>
      <c r="F220" s="67">
        <v>6</v>
      </c>
      <c r="G220" s="44">
        <v>0</v>
      </c>
      <c r="H220" s="45" t="s">
        <v>1006</v>
      </c>
      <c r="I220" s="45"/>
      <c r="K220" s="19" t="str">
        <f t="shared" si="5"/>
        <v>INSERT INTO `comm_constant` (`ID`,`CONSTANT_TYPE`,`CONSTANT_TYPE_NAME`,`CONSTANT_NAME`,`CONSTANT_VALUE`,`DEL_FLG`,`CRT_ID`,`CRT_TIME`,`UPD_ID`,`UPD_TIME`,`ACT_ID`,`ACT_TIME`,`VER`) VALUES ('216', 'OrderDetailAvailabilityStatus', '订单详细供应状态', '已完成', '6', '0', 'admin', now(), 'admin', now(), 'admin', now(), 1);</v>
      </c>
    </row>
    <row r="221" spans="2:11">
      <c r="B221" s="44">
        <f t="shared" si="6"/>
        <v>217</v>
      </c>
      <c r="C221" s="44" t="s">
        <v>1436</v>
      </c>
      <c r="D221" s="44" t="s">
        <v>1438</v>
      </c>
      <c r="E221" s="44" t="s">
        <v>797</v>
      </c>
      <c r="F221" s="67">
        <v>7</v>
      </c>
      <c r="G221" s="44">
        <v>0</v>
      </c>
      <c r="H221" s="45" t="s">
        <v>1006</v>
      </c>
      <c r="I221" s="45"/>
      <c r="K221" s="19" t="str">
        <f t="shared" si="5"/>
        <v>INSERT INTO `comm_constant` (`ID`,`CONSTANT_TYPE`,`CONSTANT_TYPE_NAME`,`CONSTANT_NAME`,`CONSTANT_VALUE`,`DEL_FLG`,`CRT_ID`,`CRT_TIME`,`UPD_ID`,`UPD_TIME`,`ACT_ID`,`ACT_TIME`,`VER`) VALUES ('217', 'OrderDetailAvailabilityStatus', '订单详细供应状态', '全部退货', '7', '0', 'admin', now(), 'admin', now(), 'admin', now(), 1);</v>
      </c>
    </row>
    <row r="222" spans="2:11">
      <c r="B222" s="44">
        <f t="shared" si="6"/>
        <v>218</v>
      </c>
      <c r="C222" s="44" t="s">
        <v>1437</v>
      </c>
      <c r="D222" s="44" t="s">
        <v>1438</v>
      </c>
      <c r="E222" s="44" t="s">
        <v>1439</v>
      </c>
      <c r="F222" s="67" t="s">
        <v>1398</v>
      </c>
      <c r="G222" s="44">
        <v>0</v>
      </c>
      <c r="H222" s="45" t="s">
        <v>1000</v>
      </c>
      <c r="I222" s="45"/>
      <c r="K222" s="19" t="str">
        <f t="shared" si="5"/>
        <v>INSERT INTO `comm_constant` (`ID`,`CONSTANT_TYPE`,`CONSTANT_TYPE_NAME`,`CONSTANT_NAME`,`CONSTANT_VALUE`,`DEL_FLG`,`CRT_ID`,`CRT_TIME`,`UPD_ID`,`UPD_TIME`,`ACT_ID`,`ACT_TIME`,`VER`) VALUES ('218', 'OrderDetailAvailabilityStatus', '订单详细供应状态', '待审核', '8', '0', 'admin', now(), 'admin', now(), 'admin', now(), 1);</v>
      </c>
    </row>
    <row r="223" spans="2:11">
      <c r="B223" s="44">
        <f t="shared" si="6"/>
        <v>219</v>
      </c>
      <c r="C223" s="44" t="s">
        <v>173</v>
      </c>
      <c r="D223" s="44" t="s">
        <v>174</v>
      </c>
      <c r="E223" s="44" t="s">
        <v>1008</v>
      </c>
      <c r="F223" s="67">
        <v>99</v>
      </c>
      <c r="G223" s="44">
        <v>0</v>
      </c>
      <c r="H223" s="45" t="s">
        <v>1006</v>
      </c>
      <c r="I223" s="45"/>
      <c r="K223" s="19" t="str">
        <f t="shared" si="5"/>
        <v>INSERT INTO `comm_constant` (`ID`,`CONSTANT_TYPE`,`CONSTANT_TYPE_NAME`,`CONSTANT_NAME`,`CONSTANT_VALUE`,`DEL_FLG`,`CRT_ID`,`CRT_TIME`,`UPD_ID`,`UPD_TIME`,`ACT_ID`,`ACT_TIME`,`VER`) VALUES ('219', 'OrderDetailAvailabilityStatus', '订单详细供应状态', '已取消', '99', '0', 'admin', now(), 'admin', now(), 'admin', now(), 1);</v>
      </c>
    </row>
    <row r="224" spans="2:11">
      <c r="B224" s="44">
        <f t="shared" si="6"/>
        <v>220</v>
      </c>
      <c r="C224" s="44" t="s">
        <v>175</v>
      </c>
      <c r="D224" s="44" t="s">
        <v>176</v>
      </c>
      <c r="E224" s="44" t="s">
        <v>177</v>
      </c>
      <c r="F224" s="67">
        <v>1</v>
      </c>
      <c r="G224" s="44">
        <v>0</v>
      </c>
      <c r="H224" s="45" t="s">
        <v>1004</v>
      </c>
      <c r="I224" s="45"/>
      <c r="K224" s="19" t="str">
        <f t="shared" si="5"/>
        <v>INSERT INTO `comm_constant` (`ID`,`CONSTANT_TYPE`,`CONSTANT_TYPE_NAME`,`CONSTANT_NAME`,`CONSTANT_VALUE`,`DEL_FLG`,`CRT_ID`,`CRT_TIME`,`UPD_ID`,`UPD_TIME`,`ACT_ID`,`ACT_TIME`,`VER`) VALUES ('220', 'ReturnOrderStatus', '退货单状态', '申请中', '1', '0', 'admin', now(), 'admin', now(), 'admin', now(), 1);</v>
      </c>
    </row>
    <row r="225" spans="2:11">
      <c r="B225" s="44">
        <f t="shared" si="6"/>
        <v>221</v>
      </c>
      <c r="C225" s="44" t="s">
        <v>175</v>
      </c>
      <c r="D225" s="44" t="s">
        <v>176</v>
      </c>
      <c r="E225" s="44" t="s">
        <v>160</v>
      </c>
      <c r="F225" s="67">
        <v>2</v>
      </c>
      <c r="G225" s="44">
        <v>0</v>
      </c>
      <c r="H225" s="45" t="s">
        <v>1002</v>
      </c>
      <c r="I225" s="45"/>
      <c r="K225" s="19" t="str">
        <f t="shared" si="5"/>
        <v>INSERT INTO `comm_constant` (`ID`,`CONSTANT_TYPE`,`CONSTANT_TYPE_NAME`,`CONSTANT_NAME`,`CONSTANT_VALUE`,`DEL_FLG`,`CRT_ID`,`CRT_TIME`,`UPD_ID`,`UPD_TIME`,`ACT_ID`,`ACT_TIME`,`VER`) VALUES ('221', 'ReturnOrderStatus', '退货单状态', '待审核', '2', '0', 'admin', now(), 'admin', now(), 'admin', now(), 1);</v>
      </c>
    </row>
    <row r="226" spans="2:11">
      <c r="B226" s="44">
        <f t="shared" si="6"/>
        <v>222</v>
      </c>
      <c r="C226" s="44" t="s">
        <v>175</v>
      </c>
      <c r="D226" s="44" t="s">
        <v>176</v>
      </c>
      <c r="E226" s="44" t="s">
        <v>161</v>
      </c>
      <c r="F226" s="67">
        <v>3</v>
      </c>
      <c r="G226" s="44">
        <v>0</v>
      </c>
      <c r="H226" s="45" t="s">
        <v>1002</v>
      </c>
      <c r="I226" s="45"/>
      <c r="K226" s="19" t="str">
        <f t="shared" si="5"/>
        <v>INSERT INTO `comm_constant` (`ID`,`CONSTANT_TYPE`,`CONSTANT_TYPE_NAME`,`CONSTANT_NAME`,`CONSTANT_VALUE`,`DEL_FLG`,`CRT_ID`,`CRT_TIME`,`UPD_ID`,`UPD_TIME`,`ACT_ID`,`ACT_TIME`,`VER`) VALUES ('222', 'ReturnOrderStatus', '退货单状态', '已审核', '3', '0', 'admin', now(), 'admin', now(), 'admin', now(), 1);</v>
      </c>
    </row>
    <row r="227" spans="2:11">
      <c r="B227" s="44">
        <f t="shared" si="6"/>
        <v>223</v>
      </c>
      <c r="C227" s="44" t="s">
        <v>175</v>
      </c>
      <c r="D227" s="44" t="s">
        <v>176</v>
      </c>
      <c r="E227" s="44" t="s">
        <v>1009</v>
      </c>
      <c r="F227" s="67">
        <v>4</v>
      </c>
      <c r="G227" s="44">
        <v>0</v>
      </c>
      <c r="H227" s="45" t="s">
        <v>1002</v>
      </c>
      <c r="I227" s="45"/>
      <c r="K227" s="19" t="str">
        <f t="shared" si="5"/>
        <v>INSERT INTO `comm_constant` (`ID`,`CONSTANT_TYPE`,`CONSTANT_TYPE_NAME`,`CONSTANT_NAME`,`CONSTANT_VALUE`,`DEL_FLG`,`CRT_ID`,`CRT_TIME`,`UPD_ID`,`UPD_TIME`,`ACT_ID`,`ACT_TIME`,`VER`) VALUES ('223', 'ReturnOrderStatus', '退货单状态', '待处理', '4', '0', 'admin', now(), 'admin', now(), 'admin', now(), 1);</v>
      </c>
    </row>
    <row r="228" spans="2:11">
      <c r="B228" s="44">
        <f t="shared" si="6"/>
        <v>224</v>
      </c>
      <c r="C228" s="44" t="s">
        <v>175</v>
      </c>
      <c r="D228" s="44" t="s">
        <v>176</v>
      </c>
      <c r="E228" s="44" t="s">
        <v>179</v>
      </c>
      <c r="F228" s="67">
        <v>5</v>
      </c>
      <c r="G228" s="44">
        <v>0</v>
      </c>
      <c r="H228" s="45" t="s">
        <v>1004</v>
      </c>
      <c r="I228" s="45"/>
      <c r="K228" s="19" t="str">
        <f t="shared" si="5"/>
        <v>INSERT INTO `comm_constant` (`ID`,`CONSTANT_TYPE`,`CONSTANT_TYPE_NAME`,`CONSTANT_NAME`,`CONSTANT_VALUE`,`DEL_FLG`,`CRT_ID`,`CRT_TIME`,`UPD_ID`,`UPD_TIME`,`ACT_ID`,`ACT_TIME`,`VER`) VALUES ('224', 'ReturnOrderStatus', '退货单状态', '处理中', '5', '0', 'admin', now(), 'admin', now(), 'admin', now(), 1);</v>
      </c>
    </row>
    <row r="229" spans="2:11">
      <c r="B229" s="44">
        <f t="shared" si="6"/>
        <v>225</v>
      </c>
      <c r="C229" s="44" t="s">
        <v>175</v>
      </c>
      <c r="D229" s="44" t="s">
        <v>176</v>
      </c>
      <c r="E229" s="44" t="s">
        <v>180</v>
      </c>
      <c r="F229" s="67">
        <v>6</v>
      </c>
      <c r="G229" s="44">
        <v>0</v>
      </c>
      <c r="H229" s="45" t="s">
        <v>1004</v>
      </c>
      <c r="I229" s="45"/>
      <c r="K229" s="19" t="str">
        <f t="shared" si="5"/>
        <v>INSERT INTO `comm_constant` (`ID`,`CONSTANT_TYPE`,`CONSTANT_TYPE_NAME`,`CONSTANT_NAME`,`CONSTANT_VALUE`,`DEL_FLG`,`CRT_ID`,`CRT_TIME`,`UPD_ID`,`UPD_TIME`,`ACT_ID`,`ACT_TIME`,`VER`) VALUES ('225', 'ReturnOrderStatus', '退货单状态', '收货中', '6', '0', 'admin', now(), 'admin', now(), 'admin', now(), 1);</v>
      </c>
    </row>
    <row r="230" spans="2:11">
      <c r="B230" s="44">
        <f t="shared" si="6"/>
        <v>226</v>
      </c>
      <c r="C230" s="44" t="s">
        <v>175</v>
      </c>
      <c r="D230" s="44" t="s">
        <v>176</v>
      </c>
      <c r="E230" s="44" t="s">
        <v>181</v>
      </c>
      <c r="F230" s="67">
        <v>7</v>
      </c>
      <c r="G230" s="44">
        <v>0</v>
      </c>
      <c r="H230" s="45" t="s">
        <v>1006</v>
      </c>
      <c r="I230" s="45"/>
      <c r="K230" s="19" t="str">
        <f t="shared" si="5"/>
        <v>INSERT INTO `comm_constant` (`ID`,`CONSTANT_TYPE`,`CONSTANT_TYPE_NAME`,`CONSTANT_NAME`,`CONSTANT_VALUE`,`DEL_FLG`,`CRT_ID`,`CRT_TIME`,`UPD_ID`,`UPD_TIME`,`ACT_ID`,`ACT_TIME`,`VER`) VALUES ('226', 'ReturnOrderStatus', '退货单状态', '已收货', '7', '0', 'admin', now(), 'admin', now(), 'admin', now(), 1);</v>
      </c>
    </row>
    <row r="231" spans="2:11">
      <c r="B231" s="44">
        <f t="shared" si="6"/>
        <v>227</v>
      </c>
      <c r="C231" s="44" t="s">
        <v>175</v>
      </c>
      <c r="D231" s="44" t="s">
        <v>176</v>
      </c>
      <c r="E231" s="44" t="s">
        <v>1010</v>
      </c>
      <c r="F231" s="67">
        <v>8</v>
      </c>
      <c r="G231" s="44">
        <v>0</v>
      </c>
      <c r="H231" s="45" t="s">
        <v>1006</v>
      </c>
      <c r="I231" s="45"/>
      <c r="K231" s="19" t="str">
        <f t="shared" si="5"/>
        <v>INSERT INTO `comm_constant` (`ID`,`CONSTANT_TYPE`,`CONSTANT_TYPE_NAME`,`CONSTANT_NAME`,`CONSTANT_VALUE`,`DEL_FLG`,`CRT_ID`,`CRT_TIME`,`UPD_ID`,`UPD_TIME`,`ACT_ID`,`ACT_TIME`,`VER`) VALUES ('227', 'ReturnOrderStatus', '退货单状态', '已入库', '8', '0', 'admin', now(), 'admin', now(), 'admin', now(), 1);</v>
      </c>
    </row>
    <row r="232" spans="2:11">
      <c r="B232" s="44">
        <f t="shared" si="6"/>
        <v>228</v>
      </c>
      <c r="C232" s="44" t="s">
        <v>175</v>
      </c>
      <c r="D232" s="44" t="s">
        <v>176</v>
      </c>
      <c r="E232" s="44" t="s">
        <v>803</v>
      </c>
      <c r="F232" s="67">
        <v>9</v>
      </c>
      <c r="G232" s="44">
        <v>0</v>
      </c>
      <c r="H232" s="45" t="s">
        <v>1006</v>
      </c>
      <c r="I232" s="45"/>
      <c r="K232" s="19" t="str">
        <f t="shared" si="5"/>
        <v>INSERT INTO `comm_constant` (`ID`,`CONSTANT_TYPE`,`CONSTANT_TYPE_NAME`,`CONSTANT_NAME`,`CONSTANT_VALUE`,`DEL_FLG`,`CRT_ID`,`CRT_TIME`,`UPD_ID`,`UPD_TIME`,`ACT_ID`,`ACT_TIME`,`VER`) VALUES ('228', 'ReturnOrderStatus', '退货单状态', '迟收成功', '9', '0', 'admin', now(), 'admin', now(), 'admin', now(), 1);</v>
      </c>
    </row>
    <row r="233" spans="2:11">
      <c r="B233" s="44">
        <f t="shared" si="6"/>
        <v>229</v>
      </c>
      <c r="C233" s="44" t="s">
        <v>175</v>
      </c>
      <c r="D233" s="44" t="s">
        <v>176</v>
      </c>
      <c r="E233" s="44" t="s">
        <v>1008</v>
      </c>
      <c r="F233" s="67">
        <v>99</v>
      </c>
      <c r="G233" s="44">
        <v>0</v>
      </c>
      <c r="H233" s="45" t="s">
        <v>1006</v>
      </c>
      <c r="I233" s="45"/>
      <c r="K233" s="19" t="str">
        <f t="shared" si="5"/>
        <v>INSERT INTO `comm_constant` (`ID`,`CONSTANT_TYPE`,`CONSTANT_TYPE_NAME`,`CONSTANT_NAME`,`CONSTANT_VALUE`,`DEL_FLG`,`CRT_ID`,`CRT_TIME`,`UPD_ID`,`UPD_TIME`,`ACT_ID`,`ACT_TIME`,`VER`) VALUES ('229', 'ReturnOrderStatus', '退货单状态', '已取消', '99', '0', 'admin', now(), 'admin', now(), 'admin', now(), 1);</v>
      </c>
    </row>
    <row r="234" spans="2:11">
      <c r="B234" s="44">
        <f t="shared" si="6"/>
        <v>230</v>
      </c>
      <c r="C234" s="44" t="s">
        <v>152</v>
      </c>
      <c r="D234" s="44" t="s">
        <v>182</v>
      </c>
      <c r="E234" s="44" t="s">
        <v>153</v>
      </c>
      <c r="F234" s="67">
        <v>1</v>
      </c>
      <c r="G234" s="44">
        <v>0</v>
      </c>
      <c r="H234" s="44" t="s">
        <v>41</v>
      </c>
      <c r="I234" s="45"/>
      <c r="K234" s="19" t="str">
        <f t="shared" si="5"/>
        <v>INSERT INTO `comm_constant` (`ID`,`CONSTANT_TYPE`,`CONSTANT_TYPE_NAME`,`CONSTANT_NAME`,`CONSTANT_VALUE`,`DEL_FLG`,`CRT_ID`,`CRT_TIME`,`UPD_ID`,`UPD_TIME`,`ACT_ID`,`ACT_TIME`,`VER`) VALUES ('230', 'ProOrderStatus', '购买需求状态', '待审批', '1', '0', 'admin', now(), 'admin', now(), 'admin', now(), 1);</v>
      </c>
    </row>
    <row r="235" spans="2:11">
      <c r="B235" s="44">
        <f t="shared" si="6"/>
        <v>231</v>
      </c>
      <c r="C235" s="44" t="s">
        <v>152</v>
      </c>
      <c r="D235" s="44" t="s">
        <v>182</v>
      </c>
      <c r="E235" s="44" t="s">
        <v>154</v>
      </c>
      <c r="F235" s="67">
        <v>2</v>
      </c>
      <c r="G235" s="44">
        <v>0</v>
      </c>
      <c r="H235" s="44" t="s">
        <v>41</v>
      </c>
      <c r="I235" s="45"/>
      <c r="K235" s="19" t="str">
        <f t="shared" si="5"/>
        <v>INSERT INTO `comm_constant` (`ID`,`CONSTANT_TYPE`,`CONSTANT_TYPE_NAME`,`CONSTANT_NAME`,`CONSTANT_VALUE`,`DEL_FLG`,`CRT_ID`,`CRT_TIME`,`UPD_ID`,`UPD_TIME`,`ACT_ID`,`ACT_TIME`,`VER`) VALUES ('231', 'ProOrderStatus', '购买需求状态', '已审批', '2', '0', 'admin', now(), 'admin', now(), 'admin', now(), 1);</v>
      </c>
    </row>
    <row r="236" spans="2:11">
      <c r="B236" s="44">
        <f t="shared" ref="B236:B369" si="7">ROW()-4</f>
        <v>232</v>
      </c>
      <c r="C236" s="71" t="s">
        <v>399</v>
      </c>
      <c r="D236" s="71" t="s">
        <v>400</v>
      </c>
      <c r="E236" s="71" t="s">
        <v>401</v>
      </c>
      <c r="F236" s="73">
        <v>0</v>
      </c>
      <c r="G236" s="71">
        <v>0</v>
      </c>
      <c r="H236" s="44" t="s">
        <v>41</v>
      </c>
      <c r="I236" s="68" t="s">
        <v>400</v>
      </c>
      <c r="K236" s="19" t="str">
        <f t="shared" si="5"/>
        <v>INSERT INTO `comm_constant` (`ID`,`CONSTANT_TYPE`,`CONSTANT_TYPE_NAME`,`CONSTANT_NAME`,`CONSTANT_VALUE`,`DEL_FLG`,`CRT_ID`,`CRT_TIME`,`UPD_ID`,`UPD_TIME`,`ACT_ID`,`ACT_TIME`,`VER`) VALUES ('232', 'AmountType', '金额类型', '付款', '0', '0', 'admin', now(), 'admin', now(), 'admin', now(), 1);</v>
      </c>
    </row>
    <row r="237" spans="2:11">
      <c r="B237" s="44">
        <f t="shared" si="7"/>
        <v>233</v>
      </c>
      <c r="C237" s="71" t="s">
        <v>399</v>
      </c>
      <c r="D237" s="71" t="s">
        <v>400</v>
      </c>
      <c r="E237" s="71" t="s">
        <v>402</v>
      </c>
      <c r="F237" s="73">
        <v>1</v>
      </c>
      <c r="G237" s="71">
        <v>0</v>
      </c>
      <c r="H237" s="44" t="s">
        <v>41</v>
      </c>
      <c r="I237" s="68" t="s">
        <v>400</v>
      </c>
      <c r="K237" s="19" t="str">
        <f t="shared" si="5"/>
        <v>INSERT INTO `comm_constant` (`ID`,`CONSTANT_TYPE`,`CONSTANT_TYPE_NAME`,`CONSTANT_NAME`,`CONSTANT_VALUE`,`DEL_FLG`,`CRT_ID`,`CRT_TIME`,`UPD_ID`,`UPD_TIME`,`ACT_ID`,`ACT_TIME`,`VER`) VALUES ('233', 'AmountType', '金额类型', '退款', '1', '0', 'admin', now(), 'admin', now(), 'admin', now(), 1);</v>
      </c>
    </row>
    <row r="238" spans="2:11">
      <c r="B238" s="44">
        <f t="shared" ref="B238:B528" si="8">ROW()-4</f>
        <v>234</v>
      </c>
      <c r="C238" s="71" t="s">
        <v>399</v>
      </c>
      <c r="D238" s="71" t="s">
        <v>1011</v>
      </c>
      <c r="E238" s="71" t="s">
        <v>403</v>
      </c>
      <c r="F238" s="73">
        <v>2</v>
      </c>
      <c r="G238" s="71">
        <v>0</v>
      </c>
      <c r="H238" s="44" t="s">
        <v>41</v>
      </c>
      <c r="I238" s="68" t="s">
        <v>1011</v>
      </c>
      <c r="K238" s="19" t="str">
        <f t="shared" si="5"/>
        <v>INSERT INTO `comm_constant` (`ID`,`CONSTANT_TYPE`,`CONSTANT_TYPE_NAME`,`CONSTANT_NAME`,`CONSTANT_VALUE`,`DEL_FLG`,`CRT_ID`,`CRT_TIME`,`UPD_ID`,`UPD_TIME`,`ACT_ID`,`ACT_TIME`,`VER`) VALUES ('234', 'AmountType', '金额类型', '混合', '2', '0', 'admin', now(), 'admin', now(), 'admin', now(), 1);</v>
      </c>
    </row>
    <row r="239" spans="2:11">
      <c r="B239" s="44">
        <f t="shared" si="8"/>
        <v>235</v>
      </c>
      <c r="C239" s="71" t="s">
        <v>399</v>
      </c>
      <c r="D239" s="71" t="s">
        <v>1011</v>
      </c>
      <c r="E239" s="71" t="s">
        <v>1313</v>
      </c>
      <c r="F239" s="73">
        <v>3</v>
      </c>
      <c r="G239" s="71">
        <v>0</v>
      </c>
      <c r="H239" s="44" t="s">
        <v>41</v>
      </c>
      <c r="I239" s="68" t="s">
        <v>1011</v>
      </c>
      <c r="K239" s="19" t="str">
        <f t="shared" si="5"/>
        <v>INSERT INTO `comm_constant` (`ID`,`CONSTANT_TYPE`,`CONSTANT_TYPE_NAME`,`CONSTANT_NAME`,`CONSTANT_VALUE`,`DEL_FLG`,`CRT_ID`,`CRT_TIME`,`UPD_ID`,`UPD_TIME`,`ACT_ID`,`ACT_TIME`,`VER`) VALUES ('235', 'AmountType', '金额类型', '期初', '3', '0', 'admin', now(), 'admin', now(), 'admin', now(), 1);</v>
      </c>
    </row>
    <row r="240" spans="2:11">
      <c r="B240" s="44">
        <f t="shared" si="8"/>
        <v>236</v>
      </c>
      <c r="C240" s="71" t="s">
        <v>404</v>
      </c>
      <c r="D240" s="71" t="s">
        <v>405</v>
      </c>
      <c r="E240" s="71" t="s">
        <v>43</v>
      </c>
      <c r="F240" s="73">
        <v>1</v>
      </c>
      <c r="G240" s="71">
        <v>0</v>
      </c>
      <c r="H240" s="44" t="s">
        <v>41</v>
      </c>
      <c r="I240" s="68" t="s">
        <v>405</v>
      </c>
      <c r="K240" s="19" t="str">
        <f t="shared" si="5"/>
        <v>INSERT INTO `comm_constant` (`ID`,`CONSTANT_TYPE`,`CONSTANT_TYPE_NAME`,`CONSTANT_NAME`,`CONSTANT_VALUE`,`DEL_FLG`,`CRT_ID`,`CRT_TIME`,`UPD_ID`,`UPD_TIME`,`ACT_ID`,`ACT_TIME`,`VER`) VALUES ('236', 'RoleType', '角色信息', '平台', '1', '0', 'admin', now(), 'admin', now(), 'admin', now(), 1);</v>
      </c>
    </row>
    <row r="241" spans="2:11">
      <c r="B241" s="44">
        <f t="shared" si="8"/>
        <v>237</v>
      </c>
      <c r="C241" s="71" t="s">
        <v>404</v>
      </c>
      <c r="D241" s="71" t="s">
        <v>405</v>
      </c>
      <c r="E241" s="71" t="s">
        <v>406</v>
      </c>
      <c r="F241" s="73">
        <v>2</v>
      </c>
      <c r="G241" s="71">
        <v>0</v>
      </c>
      <c r="H241" s="44" t="s">
        <v>41</v>
      </c>
      <c r="I241" s="68" t="s">
        <v>405</v>
      </c>
      <c r="K241" s="19" t="str">
        <f t="shared" si="5"/>
        <v>INSERT INTO `comm_constant` (`ID`,`CONSTANT_TYPE`,`CONSTANT_TYPE_NAME`,`CONSTANT_NAME`,`CONSTANT_VALUE`,`DEL_FLG`,`CRT_ID`,`CRT_TIME`,`UPD_ID`,`UPD_TIME`,`ACT_ID`,`ACT_TIME`,`VER`) VALUES ('237', 'RoleType', '角色信息', '买家', '2', '0', 'admin', now(), 'admin', now(), 'admin', now(), 1);</v>
      </c>
    </row>
    <row r="242" spans="2:11">
      <c r="B242" s="44">
        <f t="shared" si="8"/>
        <v>238</v>
      </c>
      <c r="C242" s="71" t="s">
        <v>404</v>
      </c>
      <c r="D242" s="71" t="s">
        <v>405</v>
      </c>
      <c r="E242" s="71" t="s">
        <v>39</v>
      </c>
      <c r="F242" s="73">
        <v>3</v>
      </c>
      <c r="G242" s="71">
        <v>0</v>
      </c>
      <c r="H242" s="44" t="s">
        <v>41</v>
      </c>
      <c r="I242" s="68" t="s">
        <v>405</v>
      </c>
      <c r="K242" s="19" t="str">
        <f t="shared" si="5"/>
        <v>INSERT INTO `comm_constant` (`ID`,`CONSTANT_TYPE`,`CONSTANT_TYPE_NAME`,`CONSTANT_NAME`,`CONSTANT_VALUE`,`DEL_FLG`,`CRT_ID`,`CRT_TIME`,`UPD_ID`,`UPD_TIME`,`ACT_ID`,`ACT_TIME`,`VER`) VALUES ('238', 'RoleType', '角色信息', '卖家', '3', '0', 'admin', now(), 'admin', now(), 'admin', now(), 1);</v>
      </c>
    </row>
    <row r="243" spans="2:11">
      <c r="B243" s="44">
        <f t="shared" si="8"/>
        <v>239</v>
      </c>
      <c r="C243" s="71" t="s">
        <v>404</v>
      </c>
      <c r="D243" s="71" t="s">
        <v>405</v>
      </c>
      <c r="E243" s="71" t="s">
        <v>294</v>
      </c>
      <c r="F243" s="73">
        <v>4</v>
      </c>
      <c r="G243" s="71">
        <v>0</v>
      </c>
      <c r="H243" s="44" t="s">
        <v>41</v>
      </c>
      <c r="I243" s="68" t="s">
        <v>405</v>
      </c>
      <c r="K243" s="19" t="str">
        <f t="shared" si="5"/>
        <v>INSERT INTO `comm_constant` (`ID`,`CONSTANT_TYPE`,`CONSTANT_TYPE_NAME`,`CONSTANT_NAME`,`CONSTANT_VALUE`,`DEL_FLG`,`CRT_ID`,`CRT_TIME`,`UPD_ID`,`UPD_TIME`,`ACT_ID`,`ACT_TIME`,`VER`) VALUES ('239', 'RoleType', '角色信息', '买手', '4', '0', 'admin', now(), 'admin', now(), 'admin', now(), 1);</v>
      </c>
    </row>
    <row r="244" spans="2:11">
      <c r="B244" s="44">
        <f t="shared" si="8"/>
        <v>240</v>
      </c>
      <c r="C244" s="71" t="s">
        <v>1314</v>
      </c>
      <c r="D244" s="71" t="s">
        <v>1315</v>
      </c>
      <c r="E244" s="71" t="s">
        <v>1316</v>
      </c>
      <c r="F244" s="73">
        <v>1</v>
      </c>
      <c r="G244" s="68">
        <v>0</v>
      </c>
      <c r="H244" s="44" t="s">
        <v>41</v>
      </c>
      <c r="I244" s="68" t="s">
        <v>470</v>
      </c>
      <c r="K244" s="19" t="str">
        <f t="shared" si="5"/>
        <v>INSERT INTO `comm_constant` (`ID`,`CONSTANT_TYPE`,`CONSTANT_TYPE_NAME`,`CONSTANT_NAME`,`CONSTANT_VALUE`,`DEL_FLG`,`CRT_ID`,`CRT_TIME`,`UPD_ID`,`UPD_TIME`,`ACT_ID`,`ACT_TIME`,`VER`) VALUES ('240', 'SettlementStatus', '结算状态', '借', '1', '0', 'admin', now(), 'admin', now(), 'admin', now(), 1);</v>
      </c>
    </row>
    <row r="245" spans="2:11">
      <c r="B245" s="44">
        <f t="shared" si="8"/>
        <v>241</v>
      </c>
      <c r="C245" s="71" t="s">
        <v>407</v>
      </c>
      <c r="D245" s="71" t="s">
        <v>1315</v>
      </c>
      <c r="E245" s="71" t="s">
        <v>1317</v>
      </c>
      <c r="F245" s="73">
        <v>2</v>
      </c>
      <c r="G245" s="68">
        <v>0</v>
      </c>
      <c r="H245" s="44" t="s">
        <v>41</v>
      </c>
      <c r="I245" s="68" t="s">
        <v>470</v>
      </c>
      <c r="K245" s="19" t="str">
        <f t="shared" si="5"/>
        <v>INSERT INTO `comm_constant` (`ID`,`CONSTANT_TYPE`,`CONSTANT_TYPE_NAME`,`CONSTANT_NAME`,`CONSTANT_VALUE`,`DEL_FLG`,`CRT_ID`,`CRT_TIME`,`UPD_ID`,`UPD_TIME`,`ACT_ID`,`ACT_TIME`,`VER`) VALUES ('241', 'SettlementStatus', '结算状态', '贷', '2', '0', 'admin', now(), 'admin', now(), 'admin', now(), 1);</v>
      </c>
    </row>
    <row r="246" spans="2:11">
      <c r="B246" s="44">
        <f t="shared" si="8"/>
        <v>242</v>
      </c>
      <c r="C246" s="71" t="s">
        <v>407</v>
      </c>
      <c r="D246" s="71" t="s">
        <v>1315</v>
      </c>
      <c r="E246" s="71" t="s">
        <v>409</v>
      </c>
      <c r="F246" s="73">
        <v>3</v>
      </c>
      <c r="G246" s="68">
        <v>0</v>
      </c>
      <c r="H246" s="44" t="s">
        <v>41</v>
      </c>
      <c r="I246" s="68" t="s">
        <v>470</v>
      </c>
      <c r="K246" s="19" t="str">
        <f t="shared" si="5"/>
        <v>INSERT INTO `comm_constant` (`ID`,`CONSTANT_TYPE`,`CONSTANT_TYPE_NAME`,`CONSTANT_NAME`,`CONSTANT_VALUE`,`DEL_FLG`,`CRT_ID`,`CRT_TIME`,`UPD_ID`,`UPD_TIME`,`ACT_ID`,`ACT_TIME`,`VER`) VALUES ('242', 'SettlementStatus', '结算状态', '平', '3', '0', 'admin', now(), 'admin', now(), 'admin', now(), 1);</v>
      </c>
    </row>
    <row r="247" spans="2:11">
      <c r="B247" s="44">
        <f t="shared" si="2"/>
        <v>243</v>
      </c>
      <c r="C247" s="71" t="s">
        <v>469</v>
      </c>
      <c r="D247" s="71" t="s">
        <v>408</v>
      </c>
      <c r="E247" s="71" t="s">
        <v>471</v>
      </c>
      <c r="F247" s="73">
        <v>1</v>
      </c>
      <c r="G247" s="68">
        <v>0</v>
      </c>
      <c r="H247" s="69" t="s">
        <v>41</v>
      </c>
      <c r="I247" s="68" t="s">
        <v>408</v>
      </c>
      <c r="K247" s="19" t="str">
        <f t="shared" si="5"/>
        <v>INSERT INTO `comm_constant` (`ID`,`CONSTANT_TYPE`,`CONSTANT_TYPE_NAME`,`CONSTANT_NAME`,`CONSTANT_VALUE`,`DEL_FLG`,`CRT_ID`,`CRT_TIME`,`UPD_ID`,`UPD_TIME`,`ACT_ID`,`ACT_TIME`,`VER`) VALUES ('243', 'SettlementFlg', '结算标志', '未结算', '1', '0', 'admin', now(), 'admin', now(), 'admin', now(), 1);</v>
      </c>
    </row>
    <row r="248" spans="2:11">
      <c r="B248" s="44">
        <f t="shared" si="2"/>
        <v>244</v>
      </c>
      <c r="C248" s="71" t="s">
        <v>469</v>
      </c>
      <c r="D248" s="71" t="s">
        <v>408</v>
      </c>
      <c r="E248" s="71" t="s">
        <v>179</v>
      </c>
      <c r="F248" s="74">
        <v>2</v>
      </c>
      <c r="G248" s="68">
        <v>0</v>
      </c>
      <c r="H248" s="69" t="s">
        <v>41</v>
      </c>
      <c r="I248" s="68" t="s">
        <v>408</v>
      </c>
      <c r="K248" s="19" t="str">
        <f t="shared" si="5"/>
        <v>INSERT INTO `comm_constant` (`ID`,`CONSTANT_TYPE`,`CONSTANT_TYPE_NAME`,`CONSTANT_NAME`,`CONSTANT_VALUE`,`DEL_FLG`,`CRT_ID`,`CRT_TIME`,`UPD_ID`,`UPD_TIME`,`ACT_ID`,`ACT_TIME`,`VER`) VALUES ('244', 'SettlementFlg', '结算标志', '处理中', '2', '0', 'admin', now(), 'admin', now(), 'admin', now(), 1);</v>
      </c>
    </row>
    <row r="249" spans="2:11">
      <c r="B249" s="44">
        <f t="shared" si="2"/>
        <v>245</v>
      </c>
      <c r="C249" s="71" t="s">
        <v>469</v>
      </c>
      <c r="D249" s="71" t="s">
        <v>408</v>
      </c>
      <c r="E249" s="71" t="s">
        <v>472</v>
      </c>
      <c r="F249" s="74">
        <v>3</v>
      </c>
      <c r="G249" s="68">
        <v>0</v>
      </c>
      <c r="H249" s="69" t="s">
        <v>41</v>
      </c>
      <c r="I249" s="68" t="s">
        <v>408</v>
      </c>
      <c r="K249" s="19" t="str">
        <f t="shared" si="5"/>
        <v>INSERT INTO `comm_constant` (`ID`,`CONSTANT_TYPE`,`CONSTANT_TYPE_NAME`,`CONSTANT_NAME`,`CONSTANT_VALUE`,`DEL_FLG`,`CRT_ID`,`CRT_TIME`,`UPD_ID`,`UPD_TIME`,`ACT_ID`,`ACT_TIME`,`VER`) VALUES ('245', 'SettlementFlg', '结算标志', '已结算', '3', '0', 'admin', now(), 'admin', now(), 'admin', now(), 1);</v>
      </c>
    </row>
    <row r="250" spans="2:11">
      <c r="B250" s="44">
        <f t="shared" si="8"/>
        <v>246</v>
      </c>
      <c r="C250" s="71" t="s">
        <v>410</v>
      </c>
      <c r="D250" s="71" t="s">
        <v>411</v>
      </c>
      <c r="E250" s="71" t="s">
        <v>412</v>
      </c>
      <c r="F250" s="74">
        <v>0</v>
      </c>
      <c r="G250" s="68">
        <v>0</v>
      </c>
      <c r="H250" s="44" t="s">
        <v>41</v>
      </c>
      <c r="I250" s="68" t="s">
        <v>411</v>
      </c>
      <c r="K250" s="19" t="str">
        <f t="shared" si="5"/>
        <v>INSERT INTO `comm_constant` (`ID`,`CONSTANT_TYPE`,`CONSTANT_TYPE_NAME`,`CONSTANT_NAME`,`CONSTANT_VALUE`,`DEL_FLG`,`CRT_ID`,`CRT_TIME`,`UPD_ID`,`UPD_TIME`,`ACT_ID`,`ACT_TIME`,`VER`) VALUES ('246', 'TransFlg', '交易标志', '正常', '0', '0', 'admin', now(), 'admin', now(), 'admin', now(), 1);</v>
      </c>
    </row>
    <row r="251" spans="2:11">
      <c r="B251" s="44">
        <f t="shared" si="8"/>
        <v>247</v>
      </c>
      <c r="C251" s="68" t="s">
        <v>410</v>
      </c>
      <c r="D251" s="68" t="s">
        <v>411</v>
      </c>
      <c r="E251" s="68" t="s">
        <v>413</v>
      </c>
      <c r="F251" s="74">
        <v>1</v>
      </c>
      <c r="G251" s="68">
        <v>0</v>
      </c>
      <c r="H251" s="44" t="s">
        <v>41</v>
      </c>
      <c r="I251" s="68" t="s">
        <v>411</v>
      </c>
      <c r="K251" s="19" t="str">
        <f t="shared" si="5"/>
        <v>INSERT INTO `comm_constant` (`ID`,`CONSTANT_TYPE`,`CONSTANT_TYPE_NAME`,`CONSTANT_NAME`,`CONSTANT_VALUE`,`DEL_FLG`,`CRT_ID`,`CRT_TIME`,`UPD_ID`,`UPD_TIME`,`ACT_ID`,`ACT_TIME`,`VER`) VALUES ('247', 'TransFlg', '交易标志', '交易关闭', '1', '0', 'admin', now(), 'admin', now(), 'admin', now(), 1);</v>
      </c>
    </row>
    <row r="252" spans="2:11">
      <c r="B252" s="44">
        <f t="shared" si="8"/>
        <v>248</v>
      </c>
      <c r="C252" s="71" t="s">
        <v>1012</v>
      </c>
      <c r="D252" s="71" t="s">
        <v>415</v>
      </c>
      <c r="E252" s="71" t="s">
        <v>416</v>
      </c>
      <c r="F252" s="73">
        <v>0</v>
      </c>
      <c r="G252" s="71">
        <v>0</v>
      </c>
      <c r="H252" s="44" t="s">
        <v>41</v>
      </c>
      <c r="I252" s="68" t="s">
        <v>415</v>
      </c>
      <c r="K252" s="19" t="str">
        <f t="shared" si="5"/>
        <v>INSERT INTO `comm_constant` (`ID`,`CONSTANT_TYPE`,`CONSTANT_TYPE_NAME`,`CONSTANT_NAME`,`CONSTANT_VALUE`,`DEL_FLG`,`CRT_ID`,`CRT_TIME`,`UPD_ID`,`UPD_TIME`,`ACT_ID`,`ACT_TIME`,`VER`) VALUES ('248', 'RefundType', '退回费用类型', '退货退款', '0', '0', 'admin', now(), 'admin', now(), 'admin', now(), 1);</v>
      </c>
    </row>
    <row r="253" spans="2:11">
      <c r="B253" s="44">
        <f t="shared" si="8"/>
        <v>249</v>
      </c>
      <c r="C253" s="71" t="s">
        <v>414</v>
      </c>
      <c r="D253" s="71" t="s">
        <v>415</v>
      </c>
      <c r="E253" s="71" t="s">
        <v>417</v>
      </c>
      <c r="F253" s="73">
        <v>1</v>
      </c>
      <c r="G253" s="71">
        <v>0</v>
      </c>
      <c r="H253" s="44" t="s">
        <v>41</v>
      </c>
      <c r="I253" s="68" t="s">
        <v>415</v>
      </c>
      <c r="K253" s="19" t="str">
        <f t="shared" si="5"/>
        <v>INSERT INTO `comm_constant` (`ID`,`CONSTANT_TYPE`,`CONSTANT_TYPE_NAME`,`CONSTANT_NAME`,`CONSTANT_VALUE`,`DEL_FLG`,`CRT_ID`,`CRT_TIME`,`UPD_ID`,`UPD_TIME`,`ACT_ID`,`ACT_TIME`,`VER`) VALUES ('249', 'RefundType', '退回费用类型', '拒收退款', '1', '0', 'admin', now(), 'admin', now(), 'admin', now(), 1);</v>
      </c>
    </row>
    <row r="254" spans="2:11">
      <c r="B254" s="44">
        <f t="shared" si="8"/>
        <v>250</v>
      </c>
      <c r="C254" s="71" t="s">
        <v>414</v>
      </c>
      <c r="D254" s="71" t="s">
        <v>415</v>
      </c>
      <c r="E254" s="71" t="s">
        <v>1013</v>
      </c>
      <c r="F254" s="73">
        <v>2</v>
      </c>
      <c r="G254" s="71">
        <v>0</v>
      </c>
      <c r="H254" s="44" t="s">
        <v>41</v>
      </c>
      <c r="I254" s="68" t="s">
        <v>415</v>
      </c>
      <c r="K254" s="19" t="str">
        <f t="shared" si="5"/>
        <v>INSERT INTO `comm_constant` (`ID`,`CONSTANT_TYPE`,`CONSTANT_TYPE_NAME`,`CONSTANT_NAME`,`CONSTANT_VALUE`,`DEL_FLG`,`CRT_ID`,`CRT_TIME`,`UPD_ID`,`UPD_TIME`,`ACT_ID`,`ACT_TIME`,`VER`) VALUES ('250', 'RefundType', '退回费用类型', '全部取消', '2', '0', 'admin', now(), 'admin', now(), 'admin', now(), 1);</v>
      </c>
    </row>
    <row r="255" spans="2:11">
      <c r="B255" s="44">
        <f t="shared" si="8"/>
        <v>251</v>
      </c>
      <c r="C255" s="71" t="s">
        <v>414</v>
      </c>
      <c r="D255" s="71" t="s">
        <v>415</v>
      </c>
      <c r="E255" s="71" t="s">
        <v>1014</v>
      </c>
      <c r="F255" s="73">
        <v>3</v>
      </c>
      <c r="G255" s="71">
        <v>0</v>
      </c>
      <c r="H255" s="44" t="s">
        <v>41</v>
      </c>
      <c r="I255" s="68" t="s">
        <v>415</v>
      </c>
      <c r="K255" s="19" t="str">
        <f t="shared" si="5"/>
        <v>INSERT INTO `comm_constant` (`ID`,`CONSTANT_TYPE`,`CONSTANT_TYPE_NAME`,`CONSTANT_NAME`,`CONSTANT_VALUE`,`DEL_FLG`,`CRT_ID`,`CRT_TIME`,`UPD_ID`,`UPD_TIME`,`ACT_ID`,`ACT_TIME`,`VER`) VALUES ('251', 'RefundType', '退回费用类型', '减免', '3', '0', 'admin', now(), 'admin', now(), 'admin', now(), 1);</v>
      </c>
    </row>
    <row r="256" spans="2:11">
      <c r="B256" s="44">
        <f t="shared" si="8"/>
        <v>252</v>
      </c>
      <c r="C256" s="71" t="s">
        <v>1012</v>
      </c>
      <c r="D256" s="71" t="s">
        <v>415</v>
      </c>
      <c r="E256" s="71" t="s">
        <v>1015</v>
      </c>
      <c r="F256" s="73">
        <v>4</v>
      </c>
      <c r="G256" s="71">
        <v>0</v>
      </c>
      <c r="H256" s="44" t="s">
        <v>41</v>
      </c>
      <c r="I256" s="68" t="s">
        <v>415</v>
      </c>
      <c r="K256" s="19" t="str">
        <f t="shared" si="5"/>
        <v>INSERT INTO `comm_constant` (`ID`,`CONSTANT_TYPE`,`CONSTANT_TYPE_NAME`,`CONSTANT_NAME`,`CONSTANT_VALUE`,`DEL_FLG`,`CRT_ID`,`CRT_TIME`,`UPD_ID`,`UPD_TIME`,`ACT_ID`,`ACT_TIME`,`VER`) VALUES ('252', 'RefundType', '退回费用类型', '部分取消', '4', '0', 'admin', now(), 'admin', now(), 'admin', now(), 1);</v>
      </c>
    </row>
    <row r="257" spans="2:11">
      <c r="B257" s="44">
        <f t="shared" si="8"/>
        <v>253</v>
      </c>
      <c r="C257" s="71" t="s">
        <v>418</v>
      </c>
      <c r="D257" s="71" t="s">
        <v>419</v>
      </c>
      <c r="E257" s="71" t="s">
        <v>276</v>
      </c>
      <c r="F257" s="73">
        <v>1</v>
      </c>
      <c r="G257" s="71">
        <v>0</v>
      </c>
      <c r="H257" s="44" t="s">
        <v>41</v>
      </c>
      <c r="I257" s="68" t="s">
        <v>419</v>
      </c>
      <c r="K257" s="19" t="str">
        <f t="shared" si="5"/>
        <v>INSERT INTO `comm_constant` (`ID`,`CONSTANT_TYPE`,`CONSTANT_TYPE_NAME`,`CONSTANT_NAME`,`CONSTANT_VALUE`,`DEL_FLG`,`CRT_ID`,`CRT_TIME`,`UPD_ID`,`UPD_TIME`,`ACT_ID`,`ACT_TIME`,`VER`) VALUES ('253', 'PaidType', '支付方式', '现金', '1', '0', 'admin', now(), 'admin', now(), 'admin', now(), 1);</v>
      </c>
    </row>
    <row r="258" spans="2:11">
      <c r="B258" s="44">
        <f t="shared" si="8"/>
        <v>254</v>
      </c>
      <c r="C258" s="71" t="s">
        <v>418</v>
      </c>
      <c r="D258" s="71" t="s">
        <v>419</v>
      </c>
      <c r="E258" s="71" t="s">
        <v>420</v>
      </c>
      <c r="F258" s="73">
        <v>2</v>
      </c>
      <c r="G258" s="71">
        <v>0</v>
      </c>
      <c r="H258" s="44" t="s">
        <v>41</v>
      </c>
      <c r="I258" s="68" t="s">
        <v>419</v>
      </c>
      <c r="K258" s="19" t="str">
        <f t="shared" si="5"/>
        <v>INSERT INTO `comm_constant` (`ID`,`CONSTANT_TYPE`,`CONSTANT_TYPE_NAME`,`CONSTANT_NAME`,`CONSTANT_VALUE`,`DEL_FLG`,`CRT_ID`,`CRT_TIME`,`UPD_ID`,`UPD_TIME`,`ACT_ID`,`ACT_TIME`,`VER`) VALUES ('254', 'PaidType', '支付方式', '转账', '2', '0', 'admin', now(), 'admin', now(), 'admin', now(), 1);</v>
      </c>
    </row>
    <row r="259" spans="2:11">
      <c r="B259" s="44">
        <f t="shared" si="8"/>
        <v>255</v>
      </c>
      <c r="C259" s="71" t="s">
        <v>418</v>
      </c>
      <c r="D259" s="71" t="s">
        <v>419</v>
      </c>
      <c r="E259" s="71" t="s">
        <v>421</v>
      </c>
      <c r="F259" s="73">
        <v>3</v>
      </c>
      <c r="G259" s="71">
        <v>0</v>
      </c>
      <c r="H259" s="44" t="s">
        <v>41</v>
      </c>
      <c r="I259" s="68" t="s">
        <v>419</v>
      </c>
      <c r="K259" s="19" t="str">
        <f t="shared" si="5"/>
        <v>INSERT INTO `comm_constant` (`ID`,`CONSTANT_TYPE`,`CONSTANT_TYPE_NAME`,`CONSTANT_NAME`,`CONSTANT_VALUE`,`DEL_FLG`,`CRT_ID`,`CRT_TIME`,`UPD_ID`,`UPD_TIME`,`ACT_ID`,`ACT_TIME`,`VER`) VALUES ('255', 'PaidType', '支付方式', '支票', '3', '0', 'admin', now(), 'admin', now(), 'admin', now(), 1);</v>
      </c>
    </row>
    <row r="260" spans="2:11">
      <c r="B260" s="44">
        <f t="shared" si="8"/>
        <v>256</v>
      </c>
      <c r="C260" s="71" t="s">
        <v>1016</v>
      </c>
      <c r="D260" s="71" t="s">
        <v>419</v>
      </c>
      <c r="E260" s="71" t="s">
        <v>422</v>
      </c>
      <c r="F260" s="73">
        <v>4</v>
      </c>
      <c r="G260" s="71">
        <v>0</v>
      </c>
      <c r="H260" s="44" t="s">
        <v>41</v>
      </c>
      <c r="I260" s="68" t="s">
        <v>419</v>
      </c>
      <c r="K260" s="19" t="str">
        <f t="shared" si="5"/>
        <v>INSERT INTO `comm_constant` (`ID`,`CONSTANT_TYPE`,`CONSTANT_TYPE_NAME`,`CONSTANT_NAME`,`CONSTANT_VALUE`,`DEL_FLG`,`CRT_ID`,`CRT_TIME`,`UPD_ID`,`UPD_TIME`,`ACT_ID`,`ACT_TIME`,`VER`) VALUES ('256', 'PaidType', '支付方式', '冲抵核销', '4', '0', 'admin', now(), 'admin', now(), 'admin', now(), 1);</v>
      </c>
    </row>
    <row r="261" spans="2:11">
      <c r="B261" s="44">
        <f t="shared" si="8"/>
        <v>257</v>
      </c>
      <c r="C261" s="71" t="s">
        <v>418</v>
      </c>
      <c r="D261" s="71" t="s">
        <v>419</v>
      </c>
      <c r="E261" s="71" t="s">
        <v>1017</v>
      </c>
      <c r="F261" s="73">
        <v>5</v>
      </c>
      <c r="G261" s="71">
        <v>0</v>
      </c>
      <c r="H261" s="44" t="s">
        <v>41</v>
      </c>
      <c r="I261" s="68" t="s">
        <v>419</v>
      </c>
      <c r="K261" s="19" t="str">
        <f t="shared" si="5"/>
        <v>INSERT INTO `comm_constant` (`ID`,`CONSTANT_TYPE`,`CONSTANT_TYPE_NAME`,`CONSTANT_NAME`,`CONSTANT_VALUE`,`DEL_FLG`,`CRT_ID`,`CRT_TIME`,`UPD_ID`,`UPD_TIME`,`ACT_ID`,`ACT_TIME`,`VER`) VALUES ('257', 'PaidType', '支付方式', 'POS刷卡', '5', '0', 'admin', now(), 'admin', now(), 'admin', now(), 1);</v>
      </c>
    </row>
    <row r="262" spans="2:11">
      <c r="B262" s="44">
        <f t="shared" si="8"/>
        <v>258</v>
      </c>
      <c r="C262" s="71" t="s">
        <v>418</v>
      </c>
      <c r="D262" s="71" t="s">
        <v>419</v>
      </c>
      <c r="E262" s="71" t="s">
        <v>1018</v>
      </c>
      <c r="F262" s="73">
        <v>6</v>
      </c>
      <c r="G262" s="71">
        <v>0</v>
      </c>
      <c r="H262" s="44" t="s">
        <v>41</v>
      </c>
      <c r="I262" s="68" t="s">
        <v>419</v>
      </c>
      <c r="K262" s="19" t="str">
        <f t="shared" si="5"/>
        <v>INSERT INTO `comm_constant` (`ID`,`CONSTANT_TYPE`,`CONSTANT_TYPE_NAME`,`CONSTANT_NAME`,`CONSTANT_VALUE`,`DEL_FLG`,`CRT_ID`,`CRT_TIME`,`UPD_ID`,`UPD_TIME`,`ACT_ID`,`ACT_TIME`,`VER`) VALUES ('258', 'PaidType', '支付方式', '微信支付', '6', '0', 'admin', now(), 'admin', now(), 'admin', now(), 1);</v>
      </c>
    </row>
    <row r="263" spans="2:11">
      <c r="B263" s="44">
        <f t="shared" si="8"/>
        <v>259</v>
      </c>
      <c r="C263" s="71" t="s">
        <v>418</v>
      </c>
      <c r="D263" s="71" t="s">
        <v>419</v>
      </c>
      <c r="E263" s="71" t="s">
        <v>1019</v>
      </c>
      <c r="F263" s="73">
        <v>7</v>
      </c>
      <c r="G263" s="71">
        <v>0</v>
      </c>
      <c r="H263" s="44" t="s">
        <v>41</v>
      </c>
      <c r="I263" s="68" t="s">
        <v>419</v>
      </c>
      <c r="K263" s="19" t="str">
        <f t="shared" si="5"/>
        <v>INSERT INTO `comm_constant` (`ID`,`CONSTANT_TYPE`,`CONSTANT_TYPE_NAME`,`CONSTANT_NAME`,`CONSTANT_VALUE`,`DEL_FLG`,`CRT_ID`,`CRT_TIME`,`UPD_ID`,`UPD_TIME`,`ACT_ID`,`ACT_TIME`,`VER`) VALUES ('259', 'PaidType', '支付方式', '支付宝支付', '7', '0', 'admin', now(), 'admin', now(), 'admin', now(), 1);</v>
      </c>
    </row>
    <row r="264" spans="2:11">
      <c r="B264" s="44">
        <f t="shared" si="8"/>
        <v>260</v>
      </c>
      <c r="C264" s="71" t="s">
        <v>423</v>
      </c>
      <c r="D264" s="71" t="s">
        <v>424</v>
      </c>
      <c r="E264" s="71" t="s">
        <v>425</v>
      </c>
      <c r="F264" s="73">
        <v>1</v>
      </c>
      <c r="G264" s="71">
        <v>0</v>
      </c>
      <c r="H264" s="44" t="s">
        <v>41</v>
      </c>
      <c r="I264" s="68" t="s">
        <v>424</v>
      </c>
      <c r="K264" s="19" t="str">
        <f t="shared" ref="K264:K330" si="9">"INSERT INTO `comm_constant` (`ID`,`CONSTANT_TYPE`,`CONSTANT_TYPE_NAME`,`CONSTANT_NAME`,`CONSTANT_VALUE`,`DEL_FLG`,`CRT_ID`,`CRT_TIME`,`UPD_ID`,`UPD_TIME`,`ACT_ID`,`ACT_TIME`,`VER`) VALUES ("&amp;IF(B264="","NULL","'"&amp;B264&amp;"'")&amp;", "&amp;IF(C264="","NULL","'"&amp;C264&amp;"'")&amp;", "&amp;IF(D264="","NULL","'"&amp;D264&amp;"'")&amp;", "&amp;IF(E264="","NULL","'"&amp;E264&amp;"'")&amp;", "&amp;IF(F264="","NULL","'"&amp;F264&amp;"'")&amp;", "&amp;IF(G264="","NULL","'"&amp;G264&amp;"'")&amp;", 'admin', now(), 'admin', now(), 'admin', now(), 1);"</f>
        <v>INSERT INTO `comm_constant` (`ID`,`CONSTANT_TYPE`,`CONSTANT_TYPE_NAME`,`CONSTANT_NAME`,`CONSTANT_VALUE`,`DEL_FLG`,`CRT_ID`,`CRT_TIME`,`UPD_ID`,`UPD_TIME`,`ACT_ID`,`ACT_TIME`,`VER`) VALUES ('260', 'BillType', '计费类型', '卖家交易计费', '1', '0', 'admin', now(), 'admin', now(), 'admin', now(), 1);</v>
      </c>
    </row>
    <row r="265" spans="2:11">
      <c r="B265" s="44">
        <f t="shared" si="8"/>
        <v>261</v>
      </c>
      <c r="C265" s="71" t="s">
        <v>423</v>
      </c>
      <c r="D265" s="71" t="s">
        <v>424</v>
      </c>
      <c r="E265" s="71" t="s">
        <v>426</v>
      </c>
      <c r="F265" s="73">
        <v>2</v>
      </c>
      <c r="G265" s="71">
        <v>0</v>
      </c>
      <c r="H265" s="44" t="s">
        <v>41</v>
      </c>
      <c r="I265" s="68" t="s">
        <v>424</v>
      </c>
      <c r="K265" s="19" t="str">
        <f t="shared" si="9"/>
        <v>INSERT INTO `comm_constant` (`ID`,`CONSTANT_TYPE`,`CONSTANT_TYPE_NAME`,`CONSTANT_NAME`,`CONSTANT_VALUE`,`DEL_FLG`,`CRT_ID`,`CRT_TIME`,`UPD_ID`,`UPD_TIME`,`ACT_ID`,`ACT_TIME`,`VER`) VALUES ('261', 'BillType', '计费类型', '平台管理费', '2', '0', 'admin', now(), 'admin', now(), 'admin', now(), 1);</v>
      </c>
    </row>
    <row r="266" spans="2:11">
      <c r="B266" s="44">
        <f t="shared" si="8"/>
        <v>262</v>
      </c>
      <c r="C266" s="71" t="s">
        <v>427</v>
      </c>
      <c r="D266" s="71" t="s">
        <v>428</v>
      </c>
      <c r="E266" s="71" t="s">
        <v>429</v>
      </c>
      <c r="F266" s="73">
        <v>0</v>
      </c>
      <c r="G266" s="71">
        <v>0</v>
      </c>
      <c r="H266" s="44" t="s">
        <v>41</v>
      </c>
      <c r="I266" s="68" t="s">
        <v>428</v>
      </c>
      <c r="K266" s="19" t="str">
        <f t="shared" si="9"/>
        <v>INSERT INTO `comm_constant` (`ID`,`CONSTANT_TYPE`,`CONSTANT_TYPE_NAME`,`CONSTANT_NAME`,`CONSTANT_VALUE`,`DEL_FLG`,`CRT_ID`,`CRT_TIME`,`UPD_ID`,`UPD_TIME`,`ACT_ID`,`ACT_TIME`,`VER`) VALUES ('262', 'PaidStatus', '支付状态', '未支付', '0', '0', 'admin', now(), 'admin', now(), 'admin', now(), 1);</v>
      </c>
    </row>
    <row r="267" spans="2:11">
      <c r="B267" s="44">
        <f t="shared" si="8"/>
        <v>263</v>
      </c>
      <c r="C267" s="71" t="s">
        <v>427</v>
      </c>
      <c r="D267" s="71" t="s">
        <v>428</v>
      </c>
      <c r="E267" s="71" t="s">
        <v>430</v>
      </c>
      <c r="F267" s="73">
        <v>1</v>
      </c>
      <c r="G267" s="71">
        <v>0</v>
      </c>
      <c r="H267" s="44" t="s">
        <v>41</v>
      </c>
      <c r="I267" s="68" t="s">
        <v>428</v>
      </c>
      <c r="K267" s="19" t="str">
        <f t="shared" si="9"/>
        <v>INSERT INTO `comm_constant` (`ID`,`CONSTANT_TYPE`,`CONSTANT_TYPE_NAME`,`CONSTANT_NAME`,`CONSTANT_VALUE`,`DEL_FLG`,`CRT_ID`,`CRT_TIME`,`UPD_ID`,`UPD_TIME`,`ACT_ID`,`ACT_TIME`,`VER`) VALUES ('263', 'PaidStatus', '支付状态', '部分支付', '1', '0', 'admin', now(), 'admin', now(), 'admin', now(), 1);</v>
      </c>
    </row>
    <row r="268" spans="2:11">
      <c r="B268" s="44">
        <f t="shared" si="8"/>
        <v>264</v>
      </c>
      <c r="C268" s="71" t="s">
        <v>427</v>
      </c>
      <c r="D268" s="71" t="s">
        <v>428</v>
      </c>
      <c r="E268" s="71" t="s">
        <v>431</v>
      </c>
      <c r="F268" s="73">
        <v>2</v>
      </c>
      <c r="G268" s="71">
        <v>0</v>
      </c>
      <c r="H268" s="44" t="s">
        <v>41</v>
      </c>
      <c r="I268" s="68" t="s">
        <v>428</v>
      </c>
      <c r="K268" s="19" t="str">
        <f t="shared" si="9"/>
        <v>INSERT INTO `comm_constant` (`ID`,`CONSTANT_TYPE`,`CONSTANT_TYPE_NAME`,`CONSTANT_NAME`,`CONSTANT_VALUE`,`DEL_FLG`,`CRT_ID`,`CRT_TIME`,`UPD_ID`,`UPD_TIME`,`ACT_ID`,`ACT_TIME`,`VER`) VALUES ('264', 'PaidStatus', '支付状态', '已支付', '2', '0', 'admin', now(), 'admin', now(), 'admin', now(), 1);</v>
      </c>
    </row>
    <row r="269" spans="2:11">
      <c r="B269" s="44">
        <f t="shared" si="8"/>
        <v>265</v>
      </c>
      <c r="C269" s="71" t="s">
        <v>432</v>
      </c>
      <c r="D269" s="71" t="s">
        <v>433</v>
      </c>
      <c r="E269" s="71" t="s">
        <v>434</v>
      </c>
      <c r="F269" s="73">
        <v>0</v>
      </c>
      <c r="G269" s="71">
        <v>0</v>
      </c>
      <c r="H269" s="44" t="s">
        <v>41</v>
      </c>
      <c r="I269" s="68" t="s">
        <v>433</v>
      </c>
      <c r="K269" s="19" t="str">
        <f t="shared" si="9"/>
        <v>INSERT INTO `comm_constant` (`ID`,`CONSTANT_TYPE`,`CONSTANT_TYPE_NAME`,`CONSTANT_NAME`,`CONSTANT_VALUE`,`DEL_FLG`,`CRT_ID`,`CRT_TIME`,`UPD_ID`,`UPD_TIME`,`ACT_ID`,`ACT_TIME`,`VER`) VALUES ('265', 'TransType', '交易类型', '主订单', '0', '0', 'admin', now(), 'admin', now(), 'admin', now(), 1);</v>
      </c>
    </row>
    <row r="270" spans="2:11">
      <c r="B270" s="44">
        <f t="shared" si="8"/>
        <v>266</v>
      </c>
      <c r="C270" s="71" t="s">
        <v>432</v>
      </c>
      <c r="D270" s="71" t="s">
        <v>433</v>
      </c>
      <c r="E270" s="71" t="s">
        <v>435</v>
      </c>
      <c r="F270" s="73">
        <v>1</v>
      </c>
      <c r="G270" s="71">
        <v>0</v>
      </c>
      <c r="H270" s="44" t="s">
        <v>41</v>
      </c>
      <c r="I270" s="68" t="s">
        <v>433</v>
      </c>
      <c r="K270" s="19" t="str">
        <f t="shared" si="9"/>
        <v>INSERT INTO `comm_constant` (`ID`,`CONSTANT_TYPE`,`CONSTANT_TYPE_NAME`,`CONSTANT_NAME`,`CONSTANT_VALUE`,`DEL_FLG`,`CRT_ID`,`CRT_TIME`,`UPD_ID`,`UPD_TIME`,`ACT_ID`,`ACT_TIME`,`VER`) VALUES ('266', 'TransType', '交易类型', '管理费用清单', '1', '0', 'admin', now(), 'admin', now(), 'admin', now(), 1);</v>
      </c>
    </row>
    <row r="271" spans="2:11">
      <c r="B271" s="44">
        <f t="shared" si="8"/>
        <v>267</v>
      </c>
      <c r="C271" s="71" t="s">
        <v>436</v>
      </c>
      <c r="D271" s="71" t="s">
        <v>437</v>
      </c>
      <c r="E271" s="71" t="s">
        <v>438</v>
      </c>
      <c r="F271" s="73">
        <v>0</v>
      </c>
      <c r="G271" s="71">
        <v>0</v>
      </c>
      <c r="H271" s="44" t="s">
        <v>41</v>
      </c>
      <c r="I271" s="68" t="s">
        <v>437</v>
      </c>
      <c r="K271" s="19" t="str">
        <f t="shared" si="9"/>
        <v>INSERT INTO `comm_constant` (`ID`,`CONSTANT_TYPE`,`CONSTANT_TYPE_NAME`,`CONSTANT_NAME`,`CONSTANT_VALUE`,`DEL_FLG`,`CRT_ID`,`CRT_TIME`,`UPD_ID`,`UPD_TIME`,`ACT_ID`,`ACT_TIME`,`VER`) VALUES ('267', 'ChargeFlg', '计费标志', '未计费', '0', '0', 'admin', now(), 'admin', now(), 'admin', now(), 1);</v>
      </c>
    </row>
    <row r="272" spans="2:11">
      <c r="B272" s="44">
        <f t="shared" si="8"/>
        <v>268</v>
      </c>
      <c r="C272" s="71" t="s">
        <v>436</v>
      </c>
      <c r="D272" s="71" t="s">
        <v>437</v>
      </c>
      <c r="E272" s="71" t="s">
        <v>439</v>
      </c>
      <c r="F272" s="73">
        <v>1</v>
      </c>
      <c r="G272" s="71">
        <v>0</v>
      </c>
      <c r="H272" s="44" t="s">
        <v>41</v>
      </c>
      <c r="I272" s="68" t="s">
        <v>437</v>
      </c>
      <c r="K272" s="19" t="str">
        <f t="shared" si="9"/>
        <v>INSERT INTO `comm_constant` (`ID`,`CONSTANT_TYPE`,`CONSTANT_TYPE_NAME`,`CONSTANT_NAME`,`CONSTANT_VALUE`,`DEL_FLG`,`CRT_ID`,`CRT_TIME`,`UPD_ID`,`UPD_TIME`,`ACT_ID`,`ACT_TIME`,`VER`) VALUES ('268', 'ChargeFlg', '计费标志', '已计费', '1', '0', 'admin', now(), 'admin', now(), 'admin', now(), 1);</v>
      </c>
    </row>
    <row r="273" spans="2:11">
      <c r="B273" s="44">
        <f t="shared" si="8"/>
        <v>269</v>
      </c>
      <c r="C273" s="71" t="s">
        <v>440</v>
      </c>
      <c r="D273" s="71" t="s">
        <v>441</v>
      </c>
      <c r="E273" s="71" t="s">
        <v>442</v>
      </c>
      <c r="F273" s="73">
        <v>0</v>
      </c>
      <c r="G273" s="71">
        <v>0</v>
      </c>
      <c r="H273" s="44" t="s">
        <v>41</v>
      </c>
      <c r="I273" s="68" t="s">
        <v>441</v>
      </c>
      <c r="K273" s="19" t="str">
        <f t="shared" si="9"/>
        <v>INSERT INTO `comm_constant` (`ID`,`CONSTANT_TYPE`,`CONSTANT_TYPE_NAME`,`CONSTANT_NAME`,`CONSTANT_VALUE`,`DEL_FLG`,`CRT_ID`,`CRT_TIME`,`UPD_ID`,`UPD_TIME`,`ACT_ID`,`ACT_TIME`,`VER`) VALUES ('269', 'MatchVerFlg', '冲抵核销标志', '正常收支', '0', '0', 'admin', now(), 'admin', now(), 'admin', now(), 1);</v>
      </c>
    </row>
    <row r="274" spans="2:11">
      <c r="B274" s="44">
        <f t="shared" si="8"/>
        <v>270</v>
      </c>
      <c r="C274" s="71" t="s">
        <v>440</v>
      </c>
      <c r="D274" s="71" t="s">
        <v>441</v>
      </c>
      <c r="E274" s="71" t="s">
        <v>422</v>
      </c>
      <c r="F274" s="73">
        <v>1</v>
      </c>
      <c r="G274" s="71">
        <v>0</v>
      </c>
      <c r="H274" s="44" t="s">
        <v>41</v>
      </c>
      <c r="I274" s="68" t="s">
        <v>441</v>
      </c>
      <c r="K274" s="19" t="str">
        <f t="shared" si="9"/>
        <v>INSERT INTO `comm_constant` (`ID`,`CONSTANT_TYPE`,`CONSTANT_TYPE_NAME`,`CONSTANT_NAME`,`CONSTANT_VALUE`,`DEL_FLG`,`CRT_ID`,`CRT_TIME`,`UPD_ID`,`UPD_TIME`,`ACT_ID`,`ACT_TIME`,`VER`) VALUES ('270', 'MatchVerFlg', '冲抵核销标志', '冲抵核销', '1', '0', 'admin', now(), 'admin', now(), 'admin', now(), 1);</v>
      </c>
    </row>
    <row r="275" spans="2:11">
      <c r="B275" s="44">
        <f t="shared" si="8"/>
        <v>271</v>
      </c>
      <c r="C275" s="71" t="s">
        <v>443</v>
      </c>
      <c r="D275" s="71" t="s">
        <v>444</v>
      </c>
      <c r="E275" s="71" t="s">
        <v>445</v>
      </c>
      <c r="F275" s="73">
        <v>0</v>
      </c>
      <c r="G275" s="71">
        <v>0</v>
      </c>
      <c r="H275" s="44" t="s">
        <v>41</v>
      </c>
      <c r="I275" s="68" t="s">
        <v>444</v>
      </c>
      <c r="K275" s="19" t="str">
        <f t="shared" si="9"/>
        <v>INSERT INTO `comm_constant` (`ID`,`CONSTANT_TYPE`,`CONSTANT_TYPE_NAME`,`CONSTANT_NAME`,`CONSTANT_VALUE`,`DEL_FLG`,`CRT_ID`,`CRT_TIME`,`UPD_ID`,`UPD_TIME`,`ACT_ID`,`ACT_TIME`,`VER`) VALUES ('271', 'StatementFlg', '对账标志', '可对账', '0', '0', 'admin', now(), 'admin', now(), 'admin', now(), 1);</v>
      </c>
    </row>
    <row r="276" spans="2:11">
      <c r="B276" s="44">
        <f t="shared" si="8"/>
        <v>272</v>
      </c>
      <c r="C276" s="71" t="s">
        <v>443</v>
      </c>
      <c r="D276" s="71" t="s">
        <v>444</v>
      </c>
      <c r="E276" s="71" t="s">
        <v>446</v>
      </c>
      <c r="F276" s="73">
        <v>1</v>
      </c>
      <c r="G276" s="71">
        <v>0</v>
      </c>
      <c r="H276" s="44" t="s">
        <v>41</v>
      </c>
      <c r="I276" s="68" t="s">
        <v>444</v>
      </c>
      <c r="K276" s="19" t="str">
        <f t="shared" si="9"/>
        <v>INSERT INTO `comm_constant` (`ID`,`CONSTANT_TYPE`,`CONSTANT_TYPE_NAME`,`CONSTANT_NAME`,`CONSTANT_VALUE`,`DEL_FLG`,`CRT_ID`,`CRT_TIME`,`UPD_ID`,`UPD_TIME`,`ACT_ID`,`ACT_TIME`,`VER`) VALUES ('272', 'StatementFlg', '对账标志', '已对账', '1', '0', 'admin', now(), 'admin', now(), 'admin', now(), 1);</v>
      </c>
    </row>
    <row r="277" spans="2:11">
      <c r="B277" s="44">
        <f t="shared" si="8"/>
        <v>273</v>
      </c>
      <c r="C277" s="71" t="s">
        <v>443</v>
      </c>
      <c r="D277" s="71" t="s">
        <v>444</v>
      </c>
      <c r="E277" s="71" t="s">
        <v>447</v>
      </c>
      <c r="F277" s="73">
        <v>2</v>
      </c>
      <c r="G277" s="71">
        <v>0</v>
      </c>
      <c r="H277" s="44" t="s">
        <v>41</v>
      </c>
      <c r="I277" s="68" t="s">
        <v>444</v>
      </c>
      <c r="K277" s="19" t="str">
        <f t="shared" si="9"/>
        <v>INSERT INTO `comm_constant` (`ID`,`CONSTANT_TYPE`,`CONSTANT_TYPE_NAME`,`CONSTANT_NAME`,`CONSTANT_VALUE`,`DEL_FLG`,`CRT_ID`,`CRT_TIME`,`UPD_ID`,`UPD_TIME`,`ACT_ID`,`ACT_TIME`,`VER`) VALUES ('273', 'StatementFlg', '对账标志', '挂起', '2', '0', 'admin', now(), 'admin', now(), 'admin', now(), 1);</v>
      </c>
    </row>
    <row r="278" spans="2:11">
      <c r="B278" s="44">
        <f t="shared" si="8"/>
        <v>274</v>
      </c>
      <c r="C278" s="71" t="s">
        <v>448</v>
      </c>
      <c r="D278" s="71" t="s">
        <v>449</v>
      </c>
      <c r="E278" s="71" t="s">
        <v>450</v>
      </c>
      <c r="F278" s="73">
        <v>0</v>
      </c>
      <c r="G278" s="71">
        <v>0</v>
      </c>
      <c r="H278" s="44" t="s">
        <v>41</v>
      </c>
      <c r="I278" s="68" t="s">
        <v>449</v>
      </c>
      <c r="K278" s="19" t="str">
        <f t="shared" si="9"/>
        <v>INSERT INTO `comm_constant` (`ID`,`CONSTANT_TYPE`,`CONSTANT_TYPE_NAME`,`CONSTANT_NAME`,`CONSTANT_VALUE`,`DEL_FLG`,`CRT_ID`,`CRT_TIME`,`UPD_ID`,`UPD_TIME`,`ACT_ID`,`ACT_TIME`,`VER`) VALUES ('274', 'ReShipFlg', '重新发货标志', '不重新发货', '0', '0', 'admin', now(), 'admin', now(), 'admin', now(), 1);</v>
      </c>
    </row>
    <row r="279" spans="2:11">
      <c r="B279" s="44">
        <f t="shared" si="8"/>
        <v>275</v>
      </c>
      <c r="C279" s="71" t="s">
        <v>448</v>
      </c>
      <c r="D279" s="71" t="s">
        <v>449</v>
      </c>
      <c r="E279" s="71" t="s">
        <v>451</v>
      </c>
      <c r="F279" s="73">
        <v>1</v>
      </c>
      <c r="G279" s="71">
        <v>0</v>
      </c>
      <c r="H279" s="44" t="s">
        <v>41</v>
      </c>
      <c r="I279" s="68" t="s">
        <v>449</v>
      </c>
      <c r="K279" s="19" t="str">
        <f t="shared" si="9"/>
        <v>INSERT INTO `comm_constant` (`ID`,`CONSTANT_TYPE`,`CONSTANT_TYPE_NAME`,`CONSTANT_NAME`,`CONSTANT_VALUE`,`DEL_FLG`,`CRT_ID`,`CRT_TIME`,`UPD_ID`,`UPD_TIME`,`ACT_ID`,`ACT_TIME`,`VER`) VALUES ('275', 'ReShipFlg', '重新发货标志', '重新发货', '1', '0', 'admin', now(), 'admin', now(), 'admin', now(), 1);</v>
      </c>
    </row>
    <row r="280" spans="2:11">
      <c r="B280" s="44">
        <f t="shared" si="8"/>
        <v>276</v>
      </c>
      <c r="C280" s="71" t="s">
        <v>452</v>
      </c>
      <c r="D280" s="71" t="s">
        <v>453</v>
      </c>
      <c r="E280" s="71" t="s">
        <v>44</v>
      </c>
      <c r="F280" s="73">
        <v>1</v>
      </c>
      <c r="G280" s="71">
        <v>0</v>
      </c>
      <c r="H280" s="44" t="s">
        <v>41</v>
      </c>
      <c r="I280" s="68" t="s">
        <v>453</v>
      </c>
      <c r="K280" s="19" t="str">
        <f t="shared" si="9"/>
        <v>INSERT INTO `comm_constant` (`ID`,`CONSTANT_TYPE`,`CONSTANT_TYPE_NAME`,`CONSTANT_NAME`,`CONSTANT_VALUE`,`DEL_FLG`,`CRT_ID`,`CRT_TIME`,`UPD_ID`,`UPD_TIME`,`ACT_ID`,`ACT_TIME`,`VER`) VALUES ('276', 'OrderSource', '订单来源', '云冻品平台', '1', '0', 'admin', now(), 'admin', now(), 'admin', now(), 1);</v>
      </c>
    </row>
    <row r="281" spans="2:11">
      <c r="B281" s="44">
        <f t="shared" si="8"/>
        <v>277</v>
      </c>
      <c r="C281" s="71" t="s">
        <v>452</v>
      </c>
      <c r="D281" s="71" t="s">
        <v>453</v>
      </c>
      <c r="E281" s="71" t="s">
        <v>45</v>
      </c>
      <c r="F281" s="73">
        <v>2</v>
      </c>
      <c r="G281" s="71">
        <v>0</v>
      </c>
      <c r="H281" s="44" t="s">
        <v>41</v>
      </c>
      <c r="I281" s="68" t="s">
        <v>453</v>
      </c>
      <c r="K281" s="19" t="str">
        <f t="shared" si="9"/>
        <v>INSERT INTO `comm_constant` (`ID`,`CONSTANT_TYPE`,`CONSTANT_TYPE_NAME`,`CONSTANT_NAME`,`CONSTANT_VALUE`,`DEL_FLG`,`CRT_ID`,`CRT_TIME`,`UPD_ID`,`UPD_TIME`,`ACT_ID`,`ACT_TIME`,`VER`) VALUES ('277', 'OrderSource', '订单来源', '云冻品B2B平台', '2', '0', 'admin', now(), 'admin', now(), 'admin', now(), 1);</v>
      </c>
    </row>
    <row r="282" spans="2:11">
      <c r="B282" s="44">
        <f t="shared" si="8"/>
        <v>278</v>
      </c>
      <c r="C282" s="71" t="s">
        <v>452</v>
      </c>
      <c r="D282" s="71" t="s">
        <v>453</v>
      </c>
      <c r="E282" s="71" t="s">
        <v>150</v>
      </c>
      <c r="F282" s="73">
        <v>3</v>
      </c>
      <c r="G282" s="71">
        <v>0</v>
      </c>
      <c r="H282" s="44" t="s">
        <v>41</v>
      </c>
      <c r="I282" s="68" t="s">
        <v>453</v>
      </c>
      <c r="K282" s="19" t="str">
        <f t="shared" si="9"/>
        <v>INSERT INTO `comm_constant` (`ID`,`CONSTANT_TYPE`,`CONSTANT_TYPE_NAME`,`CONSTANT_NAME`,`CONSTANT_VALUE`,`DEL_FLG`,`CRT_ID`,`CRT_TIME`,`UPD_ID`,`UPD_TIME`,`ACT_ID`,`ACT_TIME`,`VER`) VALUES ('278', 'OrderSource', '订单来源', '微商城平台', '3', '0', 'admin', now(), 'admin', now(), 'admin', now(), 1);</v>
      </c>
    </row>
    <row r="283" spans="2:11">
      <c r="B283" s="44">
        <f t="shared" si="8"/>
        <v>279</v>
      </c>
      <c r="C283" s="71" t="s">
        <v>452</v>
      </c>
      <c r="D283" s="71" t="s">
        <v>453</v>
      </c>
      <c r="E283" s="71" t="s">
        <v>1020</v>
      </c>
      <c r="F283" s="73">
        <v>4</v>
      </c>
      <c r="G283" s="71">
        <v>0</v>
      </c>
      <c r="H283" s="44" t="s">
        <v>41</v>
      </c>
      <c r="I283" s="68" t="s">
        <v>453</v>
      </c>
      <c r="K283" s="19" t="str">
        <f t="shared" si="9"/>
        <v>INSERT INTO `comm_constant` (`ID`,`CONSTANT_TYPE`,`CONSTANT_TYPE_NAME`,`CONSTANT_NAME`,`CONSTANT_VALUE`,`DEL_FLG`,`CRT_ID`,`CRT_TIME`,`UPD_ID`,`UPD_TIME`,`ACT_ID`,`ACT_TIME`,`VER`) VALUES ('279', 'OrderSource', '订单来源', '买手APP', '4', '0', 'admin', now(), 'admin', now(), 'admin', now(), 1);</v>
      </c>
    </row>
    <row r="284" spans="2:11">
      <c r="B284" s="44">
        <f t="shared" si="8"/>
        <v>280</v>
      </c>
      <c r="C284" s="71" t="s">
        <v>452</v>
      </c>
      <c r="D284" s="71" t="s">
        <v>1373</v>
      </c>
      <c r="E284" s="70" t="s">
        <v>1021</v>
      </c>
      <c r="F284" s="75">
        <v>5</v>
      </c>
      <c r="G284" s="71">
        <v>0</v>
      </c>
      <c r="H284" s="44" t="s">
        <v>41</v>
      </c>
      <c r="I284" s="68" t="s">
        <v>453</v>
      </c>
      <c r="K284" s="19" t="str">
        <f t="shared" si="9"/>
        <v>INSERT INTO `comm_constant` (`ID`,`CONSTANT_TYPE`,`CONSTANT_TYPE_NAME`,`CONSTANT_NAME`,`CONSTANT_VALUE`,`DEL_FLG`,`CRT_ID`,`CRT_TIME`,`UPD_ID`,`UPD_TIME`,`ACT_ID`,`ACT_TIME`,`VER`) VALUES ('280', 'OrderSource', '订单来源', '新微商城平台', '5', '0', 'admin', now(), 'admin', now(), 'admin', now(), 1);</v>
      </c>
    </row>
    <row r="285" spans="2:11">
      <c r="B285" s="44">
        <f t="shared" si="8"/>
        <v>281</v>
      </c>
      <c r="C285" s="71" t="s">
        <v>1478</v>
      </c>
      <c r="D285" s="71" t="s">
        <v>1480</v>
      </c>
      <c r="E285" s="71" t="s">
        <v>1482</v>
      </c>
      <c r="F285" s="73" t="s">
        <v>1374</v>
      </c>
      <c r="G285" s="71">
        <v>0</v>
      </c>
      <c r="H285" s="44" t="s">
        <v>41</v>
      </c>
      <c r="I285" s="68" t="s">
        <v>453</v>
      </c>
      <c r="K285" s="19" t="str">
        <f t="shared" si="9"/>
        <v>INSERT INTO `comm_constant` (`ID`,`CONSTANT_TYPE`,`CONSTANT_TYPE_NAME`,`CONSTANT_NAME`,`CONSTANT_VALUE`,`DEL_FLG`,`CRT_ID`,`CRT_TIME`,`UPD_ID`,`UPD_TIME`,`ACT_ID`,`ACT_TIME`,`VER`) VALUES ('281', 'OrderSource', '订单来源', '买家APP', '6', '0', 'admin', now(), 'admin', now(), 'admin', now(), 1);</v>
      </c>
    </row>
    <row r="286" spans="2:11">
      <c r="B286" s="44">
        <f t="shared" si="8"/>
        <v>282</v>
      </c>
      <c r="C286" s="71" t="s">
        <v>1479</v>
      </c>
      <c r="D286" s="71" t="s">
        <v>1481</v>
      </c>
      <c r="E286" s="71" t="s">
        <v>1476</v>
      </c>
      <c r="F286" s="73" t="s">
        <v>1477</v>
      </c>
      <c r="G286" s="71">
        <v>0</v>
      </c>
      <c r="H286" s="44" t="s">
        <v>41</v>
      </c>
      <c r="I286" s="68" t="s">
        <v>453</v>
      </c>
      <c r="K286" s="19" t="str">
        <f t="shared" si="9"/>
        <v>INSERT INTO `comm_constant` (`ID`,`CONSTANT_TYPE`,`CONSTANT_TYPE_NAME`,`CONSTANT_NAME`,`CONSTANT_VALUE`,`DEL_FLG`,`CRT_ID`,`CRT_TIME`,`UPD_ID`,`UPD_TIME`,`ACT_ID`,`ACT_TIME`,`VER`) VALUES ('282', 'OrderSource', '订单来源', '冻期所', '7', '0', 'admin', now(), 'admin', now(), 'admin', now(), 1);</v>
      </c>
    </row>
    <row r="287" spans="2:11">
      <c r="B287" s="44">
        <f t="shared" si="8"/>
        <v>283</v>
      </c>
      <c r="C287" s="71" t="s">
        <v>1022</v>
      </c>
      <c r="D287" s="71" t="s">
        <v>1023</v>
      </c>
      <c r="E287" s="71" t="s">
        <v>1318</v>
      </c>
      <c r="F287" s="73">
        <v>1</v>
      </c>
      <c r="G287" s="71">
        <v>0</v>
      </c>
      <c r="H287" s="44" t="s">
        <v>1319</v>
      </c>
      <c r="I287" s="68" t="s">
        <v>1023</v>
      </c>
      <c r="K287" s="19" t="str">
        <f t="shared" si="9"/>
        <v>INSERT INTO `comm_constant` (`ID`,`CONSTANT_TYPE`,`CONSTANT_TYPE_NAME`,`CONSTANT_NAME`,`CONSTANT_VALUE`,`DEL_FLG`,`CRT_ID`,`CRT_TIME`,`UPD_ID`,`UPD_TIME`,`ACT_ID`,`ACT_TIME`,`VER`) VALUES ('283', 'OrderTakerType', '订单员类型', '买家', '1', '0', 'admin', now(), 'admin', now(), 'admin', now(), 1);</v>
      </c>
    </row>
    <row r="288" spans="2:11">
      <c r="B288" s="44">
        <f t="shared" si="8"/>
        <v>284</v>
      </c>
      <c r="C288" s="71" t="s">
        <v>1022</v>
      </c>
      <c r="D288" s="71" t="s">
        <v>1023</v>
      </c>
      <c r="E288" s="71" t="s">
        <v>1320</v>
      </c>
      <c r="F288" s="73">
        <v>2</v>
      </c>
      <c r="G288" s="71">
        <v>0</v>
      </c>
      <c r="H288" s="44" t="s">
        <v>1319</v>
      </c>
      <c r="I288" s="68" t="s">
        <v>1023</v>
      </c>
      <c r="K288" s="19" t="str">
        <f t="shared" si="9"/>
        <v>INSERT INTO `comm_constant` (`ID`,`CONSTANT_TYPE`,`CONSTANT_TYPE_NAME`,`CONSTANT_NAME`,`CONSTANT_VALUE`,`DEL_FLG`,`CRT_ID`,`CRT_TIME`,`UPD_ID`,`UPD_TIME`,`ACT_ID`,`ACT_TIME`,`VER`) VALUES ('284', 'OrderTakerType', '订单员类型', '管家', '2', '0', 'admin', now(), 'admin', now(), 'admin', now(), 1);</v>
      </c>
    </row>
    <row r="289" spans="2:11">
      <c r="B289" s="44">
        <f t="shared" si="2"/>
        <v>285</v>
      </c>
      <c r="C289" s="44" t="s">
        <v>1321</v>
      </c>
      <c r="D289" s="44" t="s">
        <v>277</v>
      </c>
      <c r="E289" s="44" t="s">
        <v>278</v>
      </c>
      <c r="F289" s="67">
        <v>1</v>
      </c>
      <c r="G289" s="44">
        <v>0</v>
      </c>
      <c r="H289" s="45" t="s">
        <v>1322</v>
      </c>
      <c r="I289" s="45" t="s">
        <v>279</v>
      </c>
      <c r="K289" s="19" t="str">
        <f t="shared" si="9"/>
        <v>INSERT INTO `comm_constant` (`ID`,`CONSTANT_TYPE`,`CONSTANT_TYPE_NAME`,`CONSTANT_NAME`,`CONSTANT_VALUE`,`DEL_FLG`,`CRT_ID`,`CRT_TIME`,`UPD_ID`,`UPD_TIME`,`ACT_ID`,`ACT_TIME`,`VER`) VALUES ('285', 'OrderBuyerType', '买家类型', '分销买家', '1', '0', 'admin', now(), 'admin', now(), 'admin', now(), 1);</v>
      </c>
    </row>
    <row r="290" spans="2:11">
      <c r="B290" s="44">
        <f t="shared" si="2"/>
        <v>286</v>
      </c>
      <c r="C290" s="44" t="s">
        <v>475</v>
      </c>
      <c r="D290" s="44" t="s">
        <v>277</v>
      </c>
      <c r="E290" s="44" t="s">
        <v>280</v>
      </c>
      <c r="F290" s="67">
        <v>2</v>
      </c>
      <c r="G290" s="44">
        <v>0</v>
      </c>
      <c r="H290" s="45" t="s">
        <v>1322</v>
      </c>
      <c r="I290" s="45" t="s">
        <v>281</v>
      </c>
      <c r="K290" s="19" t="str">
        <f t="shared" si="9"/>
        <v>INSERT INTO `comm_constant` (`ID`,`CONSTANT_TYPE`,`CONSTANT_TYPE_NAME`,`CONSTANT_NAME`,`CONSTANT_VALUE`,`DEL_FLG`,`CRT_ID`,`CRT_TIME`,`UPD_ID`,`UPD_TIME`,`ACT_ID`,`ACT_TIME`,`VER`) VALUES ('286', 'OrderBuyerType', '买家类型', '菜场买家', '2', '0', 'admin', now(), 'admin', now(), 'admin', now(), 1);</v>
      </c>
    </row>
    <row r="291" spans="2:11">
      <c r="B291" s="44">
        <f t="shared" si="2"/>
        <v>287</v>
      </c>
      <c r="C291" s="44" t="s">
        <v>475</v>
      </c>
      <c r="D291" s="44" t="s">
        <v>277</v>
      </c>
      <c r="E291" s="44" t="s">
        <v>1394</v>
      </c>
      <c r="F291" s="67">
        <v>3</v>
      </c>
      <c r="G291" s="44">
        <v>0</v>
      </c>
      <c r="H291" s="45" t="s">
        <v>1322</v>
      </c>
      <c r="I291" s="45" t="s">
        <v>283</v>
      </c>
      <c r="K291" s="19" t="str">
        <f t="shared" si="9"/>
        <v>INSERT INTO `comm_constant` (`ID`,`CONSTANT_TYPE`,`CONSTANT_TYPE_NAME`,`CONSTANT_NAME`,`CONSTANT_VALUE`,`DEL_FLG`,`CRT_ID`,`CRT_TIME`,`UPD_ID`,`UPD_TIME`,`ACT_ID`,`ACT_TIME`,`VER`) VALUES ('287', 'OrderBuyerType', '买家类型', '团膳买家', '3', '0', 'admin', now(), 'admin', now(), 'admin', now(), 1);</v>
      </c>
    </row>
    <row r="292" spans="2:11">
      <c r="B292" s="44">
        <f t="shared" si="2"/>
        <v>288</v>
      </c>
      <c r="C292" s="44" t="s">
        <v>475</v>
      </c>
      <c r="D292" s="44" t="s">
        <v>277</v>
      </c>
      <c r="E292" s="44" t="s">
        <v>284</v>
      </c>
      <c r="F292" s="67">
        <v>4</v>
      </c>
      <c r="G292" s="44">
        <v>0</v>
      </c>
      <c r="H292" s="45" t="s">
        <v>1322</v>
      </c>
      <c r="I292" s="45" t="s">
        <v>285</v>
      </c>
      <c r="K292" s="19" t="str">
        <f t="shared" si="9"/>
        <v>INSERT INTO `comm_constant` (`ID`,`CONSTANT_TYPE`,`CONSTANT_TYPE_NAME`,`CONSTANT_NAME`,`CONSTANT_VALUE`,`DEL_FLG`,`CRT_ID`,`CRT_TIME`,`UPD_ID`,`UPD_TIME`,`ACT_ID`,`ACT_TIME`,`VER`) VALUES ('288', 'OrderBuyerType', '买家类型', '火锅买家', '4', '0', 'admin', now(), 'admin', now(), 'admin', now(), 1);</v>
      </c>
    </row>
    <row r="293" spans="2:11">
      <c r="B293" s="44">
        <f t="shared" si="2"/>
        <v>289</v>
      </c>
      <c r="C293" s="44" t="s">
        <v>475</v>
      </c>
      <c r="D293" s="44" t="s">
        <v>277</v>
      </c>
      <c r="E293" s="44" t="s">
        <v>292</v>
      </c>
      <c r="F293" s="67" t="s">
        <v>1395</v>
      </c>
      <c r="G293" s="44">
        <v>0</v>
      </c>
      <c r="H293" s="45" t="s">
        <v>1322</v>
      </c>
      <c r="I293" s="45" t="s">
        <v>293</v>
      </c>
      <c r="K293" s="19" t="str">
        <f t="shared" si="9"/>
        <v>INSERT INTO `comm_constant` (`ID`,`CONSTANT_TYPE`,`CONSTANT_TYPE_NAME`,`CONSTANT_NAME`,`CONSTANT_VALUE`,`DEL_FLG`,`CRT_ID`,`CRT_TIME`,`UPD_ID`,`UPD_TIME`,`ACT_ID`,`ACT_TIME`,`VER`) VALUES ('289', 'OrderBuyerType', '买家类型', '加工厂买家', '5', '0', 'admin', now(), 'admin', now(), 'admin', now(), 1);</v>
      </c>
    </row>
    <row r="294" spans="2:11">
      <c r="B294" s="44">
        <f t="shared" si="2"/>
        <v>290</v>
      </c>
      <c r="C294" s="44" t="s">
        <v>475</v>
      </c>
      <c r="D294" s="44" t="s">
        <v>277</v>
      </c>
      <c r="E294" s="44" t="s">
        <v>286</v>
      </c>
      <c r="F294" s="67" t="s">
        <v>1396</v>
      </c>
      <c r="G294" s="44">
        <v>0</v>
      </c>
      <c r="H294" s="45" t="s">
        <v>1322</v>
      </c>
      <c r="I294" s="45" t="s">
        <v>287</v>
      </c>
      <c r="K294" s="19" t="str">
        <f t="shared" si="9"/>
        <v>INSERT INTO `comm_constant` (`ID`,`CONSTANT_TYPE`,`CONSTANT_TYPE_NAME`,`CONSTANT_NAME`,`CONSTANT_VALUE`,`DEL_FLG`,`CRT_ID`,`CRT_TIME`,`UPD_ID`,`UPD_TIME`,`ACT_ID`,`ACT_TIME`,`VER`) VALUES ('290', 'OrderBuyerType', '买家类型', '中餐买家', '6', '0', 'admin', now(), 'admin', now(), 'admin', now(), 1);</v>
      </c>
    </row>
    <row r="295" spans="2:11">
      <c r="B295" s="44">
        <f t="shared" si="2"/>
        <v>291</v>
      </c>
      <c r="C295" s="44" t="s">
        <v>475</v>
      </c>
      <c r="D295" s="44" t="s">
        <v>277</v>
      </c>
      <c r="E295" s="44" t="s">
        <v>288</v>
      </c>
      <c r="F295" s="67" t="s">
        <v>1397</v>
      </c>
      <c r="G295" s="44">
        <v>0</v>
      </c>
      <c r="H295" s="45" t="s">
        <v>1322</v>
      </c>
      <c r="I295" s="45" t="s">
        <v>289</v>
      </c>
      <c r="K295" s="19" t="str">
        <f t="shared" si="9"/>
        <v>INSERT INTO `comm_constant` (`ID`,`CONSTANT_TYPE`,`CONSTANT_TYPE_NAME`,`CONSTANT_NAME`,`CONSTANT_VALUE`,`DEL_FLG`,`CRT_ID`,`CRT_TIME`,`UPD_ID`,`UPD_TIME`,`ACT_ID`,`ACT_TIME`,`VER`) VALUES ('291', 'OrderBuyerType', '买家类型', '西餐买家', '7', '0', 'admin', now(), 'admin', now(), 'admin', now(), 1);</v>
      </c>
    </row>
    <row r="296" spans="2:11">
      <c r="B296" s="44">
        <f t="shared" si="2"/>
        <v>292</v>
      </c>
      <c r="C296" s="44" t="s">
        <v>475</v>
      </c>
      <c r="D296" s="44" t="s">
        <v>277</v>
      </c>
      <c r="E296" s="44" t="s">
        <v>290</v>
      </c>
      <c r="F296" s="67" t="s">
        <v>1398</v>
      </c>
      <c r="G296" s="44">
        <v>0</v>
      </c>
      <c r="H296" s="45" t="s">
        <v>1322</v>
      </c>
      <c r="I296" s="45" t="s">
        <v>291</v>
      </c>
      <c r="K296" s="19" t="str">
        <f t="shared" si="9"/>
        <v>INSERT INTO `comm_constant` (`ID`,`CONSTANT_TYPE`,`CONSTANT_TYPE_NAME`,`CONSTANT_NAME`,`CONSTANT_VALUE`,`DEL_FLG`,`CRT_ID`,`CRT_TIME`,`UPD_ID`,`UPD_TIME`,`ACT_ID`,`ACT_TIME`,`VER`) VALUES ('292', 'OrderBuyerType', '买家类型', '小吃烧烤买家', '8', '0', 'admin', now(), 'admin', now(), 'admin', now(), 1);</v>
      </c>
    </row>
    <row r="297" spans="2:11">
      <c r="B297" s="44">
        <f t="shared" si="2"/>
        <v>293</v>
      </c>
      <c r="C297" s="71" t="s">
        <v>475</v>
      </c>
      <c r="D297" s="71" t="s">
        <v>277</v>
      </c>
      <c r="E297" s="71" t="s">
        <v>294</v>
      </c>
      <c r="F297" s="73">
        <v>9</v>
      </c>
      <c r="G297" s="71">
        <v>0</v>
      </c>
      <c r="H297" s="45" t="s">
        <v>1322</v>
      </c>
      <c r="I297" s="71" t="s">
        <v>295</v>
      </c>
      <c r="K297" s="19" t="str">
        <f t="shared" si="9"/>
        <v>INSERT INTO `comm_constant` (`ID`,`CONSTANT_TYPE`,`CONSTANT_TYPE_NAME`,`CONSTANT_NAME`,`CONSTANT_VALUE`,`DEL_FLG`,`CRT_ID`,`CRT_TIME`,`UPD_ID`,`UPD_TIME`,`ACT_ID`,`ACT_TIME`,`VER`) VALUES ('293', 'OrderBuyerType', '买家类型', '买手', '9', '0', 'admin', now(), 'admin', now(), 'admin', now(), 1);</v>
      </c>
    </row>
    <row r="298" spans="2:11">
      <c r="B298" s="44">
        <f t="shared" si="2"/>
        <v>294</v>
      </c>
      <c r="C298" s="71" t="s">
        <v>1321</v>
      </c>
      <c r="D298" s="71" t="s">
        <v>277</v>
      </c>
      <c r="E298" s="71" t="s">
        <v>296</v>
      </c>
      <c r="F298" s="73">
        <v>10</v>
      </c>
      <c r="G298" s="71">
        <v>0</v>
      </c>
      <c r="H298" s="45" t="s">
        <v>1322</v>
      </c>
      <c r="I298" s="71" t="s">
        <v>1024</v>
      </c>
      <c r="K298" s="19" t="str">
        <f t="shared" si="9"/>
        <v>INSERT INTO `comm_constant` (`ID`,`CONSTANT_TYPE`,`CONSTANT_TYPE_NAME`,`CONSTANT_NAME`,`CONSTANT_VALUE`,`DEL_FLG`,`CRT_ID`,`CRT_TIME`,`UPD_ID`,`UPD_TIME`,`ACT_ID`,`ACT_TIME`,`VER`) VALUES ('294', 'OrderBuyerType', '买家类型', '第三方买手', '10', '0', 'admin', now(), 'admin', now(), 'admin', now(), 1);</v>
      </c>
    </row>
    <row r="299" spans="2:11">
      <c r="B299" s="44">
        <f t="shared" si="2"/>
        <v>295</v>
      </c>
      <c r="C299" s="71" t="s">
        <v>792</v>
      </c>
      <c r="D299" s="71" t="s">
        <v>793</v>
      </c>
      <c r="E299" s="71" t="s">
        <v>794</v>
      </c>
      <c r="F299" s="73">
        <v>1</v>
      </c>
      <c r="G299" s="71">
        <v>0</v>
      </c>
      <c r="H299" s="45" t="s">
        <v>1323</v>
      </c>
      <c r="I299" s="71"/>
      <c r="K299" s="19" t="str">
        <f t="shared" si="9"/>
        <v>INSERT INTO `comm_constant` (`ID`,`CONSTANT_TYPE`,`CONSTANT_TYPE_NAME`,`CONSTANT_NAME`,`CONSTANT_VALUE`,`DEL_FLG`,`CRT_ID`,`CRT_TIME`,`UPD_ID`,`UPD_TIME`,`ACT_ID`,`ACT_TIME`,`VER`) VALUES ('295', 'ShipCancleReason', '发货取消原因', '客户取消', '1', '0', 'admin', now(), 'admin', now(), 'admin', now(), 1);</v>
      </c>
    </row>
    <row r="300" spans="2:11">
      <c r="B300" s="44">
        <f t="shared" si="2"/>
        <v>296</v>
      </c>
      <c r="C300" s="71" t="s">
        <v>792</v>
      </c>
      <c r="D300" s="71" t="s">
        <v>793</v>
      </c>
      <c r="E300" s="71" t="s">
        <v>795</v>
      </c>
      <c r="F300" s="73">
        <v>2</v>
      </c>
      <c r="G300" s="71">
        <v>0</v>
      </c>
      <c r="H300" s="45" t="s">
        <v>1323</v>
      </c>
      <c r="I300" s="71"/>
      <c r="K300" s="19" t="str">
        <f t="shared" si="9"/>
        <v>INSERT INTO `comm_constant` (`ID`,`CONSTANT_TYPE`,`CONSTANT_TYPE_NAME`,`CONSTANT_NAME`,`CONSTANT_VALUE`,`DEL_FLG`,`CRT_ID`,`CRT_TIME`,`UPD_ID`,`UPD_TIME`,`ACT_ID`,`ACT_TIME`,`VER`) VALUES ('296', 'ShipCancleReason', '发货取消原因', '库存不足', '2', '0', 'admin', now(), 'admin', now(), 'admin', now(), 1);</v>
      </c>
    </row>
    <row r="301" spans="2:11">
      <c r="B301" s="44">
        <f t="shared" si="2"/>
        <v>297</v>
      </c>
      <c r="C301" s="71" t="s">
        <v>792</v>
      </c>
      <c r="D301" s="71" t="s">
        <v>793</v>
      </c>
      <c r="E301" s="71" t="s">
        <v>796</v>
      </c>
      <c r="F301" s="73">
        <v>99</v>
      </c>
      <c r="G301" s="71">
        <v>0</v>
      </c>
      <c r="H301" s="45" t="s">
        <v>1323</v>
      </c>
      <c r="I301" s="71"/>
      <c r="K301" s="19" t="str">
        <f t="shared" si="9"/>
        <v>INSERT INTO `comm_constant` (`ID`,`CONSTANT_TYPE`,`CONSTANT_TYPE_NAME`,`CONSTANT_NAME`,`CONSTANT_VALUE`,`DEL_FLG`,`CRT_ID`,`CRT_TIME`,`UPD_ID`,`UPD_TIME`,`ACT_ID`,`ACT_TIME`,`VER`) VALUES ('297', 'ShipCancleReason', '发货取消原因', '其他原因', '99', '0', 'admin', now(), 'admin', now(), 'admin', now(), 1);</v>
      </c>
    </row>
    <row r="302" spans="2:11">
      <c r="B302" s="44">
        <f t="shared" si="2"/>
        <v>298</v>
      </c>
      <c r="C302" s="71" t="s">
        <v>798</v>
      </c>
      <c r="D302" s="71" t="s">
        <v>799</v>
      </c>
      <c r="E302" s="71" t="s">
        <v>165</v>
      </c>
      <c r="F302" s="73">
        <v>1</v>
      </c>
      <c r="G302" s="71">
        <v>0</v>
      </c>
      <c r="H302" s="45" t="s">
        <v>1006</v>
      </c>
      <c r="I302" s="71"/>
      <c r="K302" s="19" t="str">
        <f t="shared" si="9"/>
        <v>INSERT INTO `comm_constant` (`ID`,`CONSTANT_TYPE`,`CONSTANT_TYPE_NAME`,`CONSTANT_NAME`,`CONSTANT_VALUE`,`DEL_FLG`,`CRT_ID`,`CRT_TIME`,`UPD_ID`,`UPD_TIME`,`ACT_ID`,`ACT_TIME`,`VER`) VALUES ('298', 'ShipStatus', '订单发货单状态', '待发货', '1', '0', 'admin', now(), 'admin', now(), 'admin', now(), 1);</v>
      </c>
    </row>
    <row r="303" spans="2:11">
      <c r="B303" s="44">
        <f t="shared" si="2"/>
        <v>299</v>
      </c>
      <c r="C303" s="71" t="s">
        <v>798</v>
      </c>
      <c r="D303" s="71" t="s">
        <v>799</v>
      </c>
      <c r="E303" s="71" t="s">
        <v>166</v>
      </c>
      <c r="F303" s="73">
        <v>2</v>
      </c>
      <c r="G303" s="71">
        <v>0</v>
      </c>
      <c r="H303" s="45" t="s">
        <v>1006</v>
      </c>
      <c r="I303" s="71"/>
      <c r="K303" s="19" t="str">
        <f t="shared" si="9"/>
        <v>INSERT INTO `comm_constant` (`ID`,`CONSTANT_TYPE`,`CONSTANT_TYPE_NAME`,`CONSTANT_NAME`,`CONSTANT_VALUE`,`DEL_FLG`,`CRT_ID`,`CRT_TIME`,`UPD_ID`,`UPD_TIME`,`ACT_ID`,`ACT_TIME`,`VER`) VALUES ('299', 'ShipStatus', '订单发货单状态', '部分发货', '2', '0', 'admin', now(), 'admin', now(), 'admin', now(), 1);</v>
      </c>
    </row>
    <row r="304" spans="2:11">
      <c r="B304" s="44">
        <f t="shared" si="2"/>
        <v>300</v>
      </c>
      <c r="C304" s="71" t="s">
        <v>798</v>
      </c>
      <c r="D304" s="71" t="s">
        <v>799</v>
      </c>
      <c r="E304" s="71" t="s">
        <v>168</v>
      </c>
      <c r="F304" s="73">
        <v>3</v>
      </c>
      <c r="G304" s="71">
        <v>0</v>
      </c>
      <c r="H304" s="45" t="s">
        <v>1006</v>
      </c>
      <c r="I304" s="71"/>
      <c r="K304" s="19" t="str">
        <f t="shared" si="9"/>
        <v>INSERT INTO `comm_constant` (`ID`,`CONSTANT_TYPE`,`CONSTANT_TYPE_NAME`,`CONSTANT_NAME`,`CONSTANT_VALUE`,`DEL_FLG`,`CRT_ID`,`CRT_TIME`,`UPD_ID`,`UPD_TIME`,`ACT_ID`,`ACT_TIME`,`VER`) VALUES ('300', 'ShipStatus', '订单发货单状态', '全部发货', '3', '0', 'admin', now(), 'admin', now(), 'admin', now(), 1);</v>
      </c>
    </row>
    <row r="305" spans="2:11">
      <c r="B305" s="44">
        <f t="shared" si="2"/>
        <v>301</v>
      </c>
      <c r="C305" s="71" t="s">
        <v>798</v>
      </c>
      <c r="D305" s="71" t="s">
        <v>799</v>
      </c>
      <c r="E305" s="71" t="s">
        <v>167</v>
      </c>
      <c r="F305" s="73">
        <v>4</v>
      </c>
      <c r="G305" s="71">
        <v>0</v>
      </c>
      <c r="H305" s="45" t="s">
        <v>1006</v>
      </c>
      <c r="I305" s="71"/>
      <c r="K305" s="19" t="str">
        <f t="shared" si="9"/>
        <v>INSERT INTO `comm_constant` (`ID`,`CONSTANT_TYPE`,`CONSTANT_TYPE_NAME`,`CONSTANT_NAME`,`CONSTANT_VALUE`,`DEL_FLG`,`CRT_ID`,`CRT_TIME`,`UPD_ID`,`UPD_TIME`,`ACT_ID`,`ACT_TIME`,`VER`) VALUES ('301', 'ShipStatus', '订单发货单状态', '部分收货', '4', '0', 'admin', now(), 'admin', now(), 'admin', now(), 1);</v>
      </c>
    </row>
    <row r="306" spans="2:11">
      <c r="B306" s="44">
        <f t="shared" si="2"/>
        <v>302</v>
      </c>
      <c r="C306" s="71" t="s">
        <v>798</v>
      </c>
      <c r="D306" s="71" t="s">
        <v>799</v>
      </c>
      <c r="E306" s="44" t="s">
        <v>1007</v>
      </c>
      <c r="F306" s="73">
        <v>5</v>
      </c>
      <c r="G306" s="71">
        <v>0</v>
      </c>
      <c r="H306" s="45" t="s">
        <v>1006</v>
      </c>
      <c r="I306" s="71"/>
      <c r="K306" s="19" t="str">
        <f t="shared" si="9"/>
        <v>INSERT INTO `comm_constant` (`ID`,`CONSTANT_TYPE`,`CONSTANT_TYPE_NAME`,`CONSTANT_NAME`,`CONSTANT_VALUE`,`DEL_FLG`,`CRT_ID`,`CRT_TIME`,`UPD_ID`,`UPD_TIME`,`ACT_ID`,`ACT_TIME`,`VER`) VALUES ('302', 'ShipStatus', '订单发货单状态', '已完成', '5', '0', 'admin', now(), 'admin', now(), 'admin', now(), 1);</v>
      </c>
    </row>
    <row r="307" spans="2:11">
      <c r="B307" s="44">
        <f t="shared" si="2"/>
        <v>303</v>
      </c>
      <c r="C307" s="71" t="s">
        <v>798</v>
      </c>
      <c r="D307" s="71" t="s">
        <v>799</v>
      </c>
      <c r="E307" s="71" t="s">
        <v>800</v>
      </c>
      <c r="F307" s="73">
        <v>6</v>
      </c>
      <c r="G307" s="71">
        <v>0</v>
      </c>
      <c r="H307" s="45" t="s">
        <v>1006</v>
      </c>
      <c r="I307" s="71"/>
      <c r="K307" s="19" t="str">
        <f t="shared" si="9"/>
        <v>INSERT INTO `comm_constant` (`ID`,`CONSTANT_TYPE`,`CONSTANT_TYPE_NAME`,`CONSTANT_NAME`,`CONSTANT_VALUE`,`DEL_FLG`,`CRT_ID`,`CRT_TIME`,`UPD_ID`,`UPD_TIME`,`ACT_ID`,`ACT_TIME`,`VER`) VALUES ('303', 'ShipStatus', '订单发货单状态', '全部迟收', '6', '0', 'admin', now(), 'admin', now(), 'admin', now(), 1);</v>
      </c>
    </row>
    <row r="308" spans="2:11">
      <c r="B308" s="44">
        <f t="shared" si="2"/>
        <v>304</v>
      </c>
      <c r="C308" s="71" t="s">
        <v>798</v>
      </c>
      <c r="D308" s="71" t="s">
        <v>1483</v>
      </c>
      <c r="E308" s="71" t="s">
        <v>797</v>
      </c>
      <c r="F308" s="73">
        <v>7</v>
      </c>
      <c r="G308" s="71">
        <v>0</v>
      </c>
      <c r="H308" s="45" t="s">
        <v>1006</v>
      </c>
      <c r="I308" s="71"/>
      <c r="K308" s="19" t="str">
        <f t="shared" si="9"/>
        <v>INSERT INTO `comm_constant` (`ID`,`CONSTANT_TYPE`,`CONSTANT_TYPE_NAME`,`CONSTANT_NAME`,`CONSTANT_VALUE`,`DEL_FLG`,`CRT_ID`,`CRT_TIME`,`UPD_ID`,`UPD_TIME`,`ACT_ID`,`ACT_TIME`,`VER`) VALUES ('304', 'ShipStatus', '订单发货单状态', '全部退货', '7', '0', 'admin', now(), 'admin', now(), 'admin', now(), 1);</v>
      </c>
    </row>
    <row r="309" spans="2:11">
      <c r="B309" s="44">
        <f t="shared" si="2"/>
        <v>305</v>
      </c>
      <c r="C309" s="80" t="s">
        <v>798</v>
      </c>
      <c r="D309" s="80" t="s">
        <v>1484</v>
      </c>
      <c r="E309" s="80" t="s">
        <v>1486</v>
      </c>
      <c r="F309" s="81" t="s">
        <v>1488</v>
      </c>
      <c r="G309" s="80">
        <v>0</v>
      </c>
      <c r="H309" s="45" t="s">
        <v>1000</v>
      </c>
      <c r="I309" s="71"/>
      <c r="K309" s="19" t="str">
        <f t="shared" si="9"/>
        <v>INSERT INTO `comm_constant` (`ID`,`CONSTANT_TYPE`,`CONSTANT_TYPE_NAME`,`CONSTANT_NAME`,`CONSTANT_VALUE`,`DEL_FLG`,`CRT_ID`,`CRT_TIME`,`UPD_ID`,`UPD_TIME`,`ACT_ID`,`ACT_TIME`,`VER`) VALUES ('305', 'ShipStatus', '订单发货单状态', '待分配仓库', '8', '0', 'admin', now(), 'admin', now(), 'admin', now(), 1);</v>
      </c>
    </row>
    <row r="310" spans="2:11">
      <c r="B310" s="44">
        <f t="shared" si="2"/>
        <v>306</v>
      </c>
      <c r="C310" s="80" t="s">
        <v>798</v>
      </c>
      <c r="D310" s="80" t="s">
        <v>1485</v>
      </c>
      <c r="E310" s="80" t="s">
        <v>1487</v>
      </c>
      <c r="F310" s="81" t="s">
        <v>1489</v>
      </c>
      <c r="G310" s="80">
        <v>0</v>
      </c>
      <c r="H310" s="45" t="s">
        <v>1000</v>
      </c>
      <c r="I310" s="71"/>
      <c r="K310" s="19" t="str">
        <f t="shared" si="9"/>
        <v>INSERT INTO `comm_constant` (`ID`,`CONSTANT_TYPE`,`CONSTANT_TYPE_NAME`,`CONSTANT_NAME`,`CONSTANT_VALUE`,`DEL_FLG`,`CRT_ID`,`CRT_TIME`,`UPD_ID`,`UPD_TIME`,`ACT_ID`,`ACT_TIME`,`VER`) VALUES ('306', 'ShipStatus', '订单发货单状态', '待传递WMS', '9', '0', 'admin', now(), 'admin', now(), 'admin', now(), 1);</v>
      </c>
    </row>
    <row r="311" spans="2:11">
      <c r="B311" s="44">
        <f t="shared" si="2"/>
        <v>307</v>
      </c>
      <c r="C311" s="71" t="s">
        <v>798</v>
      </c>
      <c r="D311" s="71" t="s">
        <v>799</v>
      </c>
      <c r="E311" s="71" t="s">
        <v>801</v>
      </c>
      <c r="F311" s="73">
        <v>97</v>
      </c>
      <c r="G311" s="71">
        <v>0</v>
      </c>
      <c r="H311" s="45" t="s">
        <v>1025</v>
      </c>
      <c r="I311" s="71"/>
      <c r="K311" s="19" t="str">
        <f t="shared" si="9"/>
        <v>INSERT INTO `comm_constant` (`ID`,`CONSTANT_TYPE`,`CONSTANT_TYPE_NAME`,`CONSTANT_NAME`,`CONSTANT_VALUE`,`DEL_FLG`,`CRT_ID`,`CRT_TIME`,`UPD_ID`,`UPD_TIME`,`ACT_ID`,`ACT_TIME`,`VER`) VALUES ('307', 'ShipStatus', '订单发货单状态', '待取消', '97', '0', 'admin', now(), 'admin', now(), 'admin', now(), 1);</v>
      </c>
    </row>
    <row r="312" spans="2:11">
      <c r="B312" s="44">
        <f t="shared" si="2"/>
        <v>308</v>
      </c>
      <c r="C312" s="71" t="s">
        <v>798</v>
      </c>
      <c r="D312" s="71" t="s">
        <v>799</v>
      </c>
      <c r="E312" s="71" t="s">
        <v>802</v>
      </c>
      <c r="F312" s="73">
        <v>98</v>
      </c>
      <c r="G312" s="71">
        <v>0</v>
      </c>
      <c r="H312" s="45" t="s">
        <v>1004</v>
      </c>
      <c r="I312" s="71"/>
      <c r="K312" s="19" t="str">
        <f t="shared" si="9"/>
        <v>INSERT INTO `comm_constant` (`ID`,`CONSTANT_TYPE`,`CONSTANT_TYPE_NAME`,`CONSTANT_NAME`,`CONSTANT_VALUE`,`DEL_FLG`,`CRT_ID`,`CRT_TIME`,`UPD_ID`,`UPD_TIME`,`ACT_ID`,`ACT_TIME`,`VER`) VALUES ('308', 'ShipStatus', '订单发货单状态', '取消中', '98', '0', 'admin', now(), 'admin', now(), 'admin', now(), 1);</v>
      </c>
    </row>
    <row r="313" spans="2:11">
      <c r="B313" s="44">
        <f t="shared" si="2"/>
        <v>309</v>
      </c>
      <c r="C313" s="71" t="s">
        <v>798</v>
      </c>
      <c r="D313" s="71" t="s">
        <v>799</v>
      </c>
      <c r="E313" s="71" t="s">
        <v>721</v>
      </c>
      <c r="F313" s="73">
        <v>99</v>
      </c>
      <c r="G313" s="71">
        <v>0</v>
      </c>
      <c r="H313" s="45" t="s">
        <v>1025</v>
      </c>
      <c r="I313" s="71"/>
      <c r="K313" s="19" t="str">
        <f t="shared" si="9"/>
        <v>INSERT INTO `comm_constant` (`ID`,`CONSTANT_TYPE`,`CONSTANT_TYPE_NAME`,`CONSTANT_NAME`,`CONSTANT_VALUE`,`DEL_FLG`,`CRT_ID`,`CRT_TIME`,`UPD_ID`,`UPD_TIME`,`ACT_ID`,`ACT_TIME`,`VER`) VALUES ('309', 'ShipStatus', '订单发货单状态', '已取消', '99', '0', 'admin', now(), 'admin', now(), 'admin', now(), 1);</v>
      </c>
    </row>
    <row r="314" spans="2:11">
      <c r="B314" s="44">
        <f t="shared" si="6"/>
        <v>310</v>
      </c>
      <c r="C314" s="44" t="s">
        <v>183</v>
      </c>
      <c r="D314" s="44" t="s">
        <v>184</v>
      </c>
      <c r="E314" s="44" t="s">
        <v>185</v>
      </c>
      <c r="F314" s="67">
        <v>0</v>
      </c>
      <c r="G314" s="44">
        <v>0</v>
      </c>
      <c r="H314" s="44" t="s">
        <v>40</v>
      </c>
      <c r="I314" s="45"/>
      <c r="K314" s="19" t="str">
        <f t="shared" si="9"/>
        <v>INSERT INTO `comm_constant` (`ID`,`CONSTANT_TYPE`,`CONSTANT_TYPE_NAME`,`CONSTANT_NAME`,`CONSTANT_VALUE`,`DEL_FLG`,`CRT_ID`,`CRT_TIME`,`UPD_ID`,`UPD_TIME`,`ACT_ID`,`ACT_TIME`,`VER`) VALUES ('310', '发放状态', '会员卡发放状态', '未发放', '0', '0', 'admin', now(), 'admin', now(), 'admin', now(), 1);</v>
      </c>
    </row>
    <row r="315" spans="2:11">
      <c r="B315" s="44">
        <f t="shared" si="6"/>
        <v>311</v>
      </c>
      <c r="C315" s="44" t="s">
        <v>183</v>
      </c>
      <c r="D315" s="44" t="s">
        <v>184</v>
      </c>
      <c r="E315" s="44" t="s">
        <v>186</v>
      </c>
      <c r="F315" s="67">
        <v>1</v>
      </c>
      <c r="G315" s="44">
        <v>0</v>
      </c>
      <c r="H315" s="44" t="s">
        <v>40</v>
      </c>
      <c r="I315" s="45"/>
      <c r="K315" s="19" t="str">
        <f t="shared" si="9"/>
        <v>INSERT INTO `comm_constant` (`ID`,`CONSTANT_TYPE`,`CONSTANT_TYPE_NAME`,`CONSTANT_NAME`,`CONSTANT_VALUE`,`DEL_FLG`,`CRT_ID`,`CRT_TIME`,`UPD_ID`,`UPD_TIME`,`ACT_ID`,`ACT_TIME`,`VER`) VALUES ('311', '发放状态', '会员卡发放状态', '发放锁定中', '1', '0', 'admin', now(), 'admin', now(), 'admin', now(), 1);</v>
      </c>
    </row>
    <row r="316" spans="2:11">
      <c r="B316" s="44">
        <f t="shared" si="6"/>
        <v>312</v>
      </c>
      <c r="C316" s="44" t="s">
        <v>183</v>
      </c>
      <c r="D316" s="44" t="s">
        <v>184</v>
      </c>
      <c r="E316" s="44" t="s">
        <v>187</v>
      </c>
      <c r="F316" s="67">
        <v>2</v>
      </c>
      <c r="G316" s="44">
        <v>0</v>
      </c>
      <c r="H316" s="44" t="s">
        <v>40</v>
      </c>
      <c r="I316" s="45"/>
      <c r="K316" s="19" t="str">
        <f t="shared" si="9"/>
        <v>INSERT INTO `comm_constant` (`ID`,`CONSTANT_TYPE`,`CONSTANT_TYPE_NAME`,`CONSTANT_NAME`,`CONSTANT_VALUE`,`DEL_FLG`,`CRT_ID`,`CRT_TIME`,`UPD_ID`,`UPD_TIME`,`ACT_ID`,`ACT_TIME`,`VER`) VALUES ('312', '发放状态', '会员卡发放状态', '已发放', '2', '0', 'admin', now(), 'admin', now(), 'admin', now(), 1);</v>
      </c>
    </row>
    <row r="317" spans="2:11">
      <c r="B317" s="44">
        <f t="shared" si="6"/>
        <v>313</v>
      </c>
      <c r="C317" s="44" t="s">
        <v>183</v>
      </c>
      <c r="D317" s="44" t="s">
        <v>184</v>
      </c>
      <c r="E317" s="44" t="s">
        <v>188</v>
      </c>
      <c r="F317" s="67">
        <v>3</v>
      </c>
      <c r="G317" s="44">
        <v>0</v>
      </c>
      <c r="H317" s="44" t="s">
        <v>40</v>
      </c>
      <c r="I317" s="45"/>
      <c r="K317" s="19" t="str">
        <f t="shared" si="9"/>
        <v>INSERT INTO `comm_constant` (`ID`,`CONSTANT_TYPE`,`CONSTANT_TYPE_NAME`,`CONSTANT_NAME`,`CONSTANT_VALUE`,`DEL_FLG`,`CRT_ID`,`CRT_TIME`,`UPD_ID`,`UPD_TIME`,`ACT_ID`,`ACT_TIME`,`VER`) VALUES ('313', '发放状态', '会员卡发放状态', '挂失', '3', '0', 'admin', now(), 'admin', now(), 'admin', now(), 1);</v>
      </c>
    </row>
    <row r="318" spans="2:11">
      <c r="B318" s="44">
        <f t="shared" si="6"/>
        <v>314</v>
      </c>
      <c r="C318" s="44" t="s">
        <v>183</v>
      </c>
      <c r="D318" s="44" t="s">
        <v>184</v>
      </c>
      <c r="E318" s="44" t="s">
        <v>189</v>
      </c>
      <c r="F318" s="67">
        <v>4</v>
      </c>
      <c r="G318" s="44">
        <v>0</v>
      </c>
      <c r="H318" s="44" t="s">
        <v>40</v>
      </c>
      <c r="I318" s="45"/>
      <c r="K318" s="19" t="str">
        <f t="shared" si="9"/>
        <v>INSERT INTO `comm_constant` (`ID`,`CONSTANT_TYPE`,`CONSTANT_TYPE_NAME`,`CONSTANT_NAME`,`CONSTANT_VALUE`,`DEL_FLG`,`CRT_ID`,`CRT_TIME`,`UPD_ID`,`UPD_TIME`,`ACT_ID`,`ACT_TIME`,`VER`) VALUES ('314', '发放状态', '会员卡发放状态', '废止', '4', '0', 'admin', now(), 'admin', now(), 'admin', now(), 1);</v>
      </c>
    </row>
    <row r="319" spans="2:11">
      <c r="B319" s="44">
        <f t="shared" si="6"/>
        <v>315</v>
      </c>
      <c r="C319" s="76" t="s">
        <v>190</v>
      </c>
      <c r="D319" s="76" t="s">
        <v>190</v>
      </c>
      <c r="E319" s="76" t="s">
        <v>191</v>
      </c>
      <c r="F319" s="77">
        <v>1</v>
      </c>
      <c r="G319" s="76">
        <v>1</v>
      </c>
      <c r="H319" s="44" t="s">
        <v>46</v>
      </c>
      <c r="I319" s="45" t="s">
        <v>192</v>
      </c>
      <c r="K319" s="19"/>
    </row>
    <row r="320" spans="2:11">
      <c r="B320" s="44">
        <f t="shared" si="6"/>
        <v>316</v>
      </c>
      <c r="C320" s="76" t="s">
        <v>190</v>
      </c>
      <c r="D320" s="76" t="s">
        <v>190</v>
      </c>
      <c r="E320" s="76" t="s">
        <v>193</v>
      </c>
      <c r="F320" s="77">
        <v>2</v>
      </c>
      <c r="G320" s="76">
        <v>1</v>
      </c>
      <c r="H320" s="44" t="s">
        <v>46</v>
      </c>
      <c r="I320" s="45"/>
      <c r="K320" s="19"/>
    </row>
    <row r="321" spans="2:11">
      <c r="B321" s="44">
        <f t="shared" si="6"/>
        <v>317</v>
      </c>
      <c r="C321" s="76" t="s">
        <v>190</v>
      </c>
      <c r="D321" s="76" t="s">
        <v>190</v>
      </c>
      <c r="E321" s="76" t="s">
        <v>194</v>
      </c>
      <c r="F321" s="77">
        <v>3</v>
      </c>
      <c r="G321" s="76">
        <v>1</v>
      </c>
      <c r="H321" s="44" t="s">
        <v>46</v>
      </c>
      <c r="I321" s="45"/>
      <c r="K321" s="19"/>
    </row>
    <row r="322" spans="2:11">
      <c r="B322" s="44">
        <f t="shared" si="6"/>
        <v>318</v>
      </c>
      <c r="C322" s="76" t="s">
        <v>190</v>
      </c>
      <c r="D322" s="76" t="s">
        <v>190</v>
      </c>
      <c r="E322" s="76" t="s">
        <v>195</v>
      </c>
      <c r="F322" s="77">
        <v>4</v>
      </c>
      <c r="G322" s="76">
        <v>1</v>
      </c>
      <c r="H322" s="44" t="s">
        <v>46</v>
      </c>
      <c r="I322" s="45"/>
      <c r="K322" s="19"/>
    </row>
    <row r="323" spans="2:11">
      <c r="B323" s="44">
        <f t="shared" si="6"/>
        <v>319</v>
      </c>
      <c r="C323" s="76" t="s">
        <v>190</v>
      </c>
      <c r="D323" s="76" t="s">
        <v>190</v>
      </c>
      <c r="E323" s="76" t="s">
        <v>196</v>
      </c>
      <c r="F323" s="77">
        <v>0</v>
      </c>
      <c r="G323" s="76">
        <v>1</v>
      </c>
      <c r="H323" s="44" t="s">
        <v>46</v>
      </c>
      <c r="I323" s="45"/>
      <c r="K323" s="19"/>
    </row>
    <row r="324" spans="2:11">
      <c r="B324" s="44">
        <f t="shared" si="6"/>
        <v>320</v>
      </c>
      <c r="C324" s="44" t="s">
        <v>197</v>
      </c>
      <c r="D324" s="44" t="s">
        <v>197</v>
      </c>
      <c r="E324" s="44" t="s">
        <v>198</v>
      </c>
      <c r="F324" s="67">
        <v>0</v>
      </c>
      <c r="G324" s="44">
        <v>0</v>
      </c>
      <c r="H324" s="44" t="s">
        <v>46</v>
      </c>
      <c r="I324" s="45" t="s">
        <v>199</v>
      </c>
      <c r="K324" s="19" t="str">
        <f t="shared" si="9"/>
        <v>INSERT INTO `comm_constant` (`ID`,`CONSTANT_TYPE`,`CONSTANT_TYPE_NAME`,`CONSTANT_NAME`,`CONSTANT_VALUE`,`DEL_FLG`,`CRT_ID`,`CRT_TIME`,`UPD_ID`,`UPD_TIME`,`ACT_ID`,`ACT_TIME`,`VER`) VALUES ('320', '卖家分销资格', '卖家分销资格', '无资格', '0', '0', 'admin', now(), 'admin', now(), 'admin', now(), 1);</v>
      </c>
    </row>
    <row r="325" spans="2:11">
      <c r="B325" s="44">
        <f t="shared" si="6"/>
        <v>321</v>
      </c>
      <c r="C325" s="44" t="s">
        <v>197</v>
      </c>
      <c r="D325" s="44" t="s">
        <v>197</v>
      </c>
      <c r="E325" s="44" t="s">
        <v>200</v>
      </c>
      <c r="F325" s="67">
        <v>1</v>
      </c>
      <c r="G325" s="44">
        <v>0</v>
      </c>
      <c r="H325" s="44" t="s">
        <v>46</v>
      </c>
      <c r="I325" s="45"/>
      <c r="K325" s="19" t="str">
        <f t="shared" si="9"/>
        <v>INSERT INTO `comm_constant` (`ID`,`CONSTANT_TYPE`,`CONSTANT_TYPE_NAME`,`CONSTANT_NAME`,`CONSTANT_VALUE`,`DEL_FLG`,`CRT_ID`,`CRT_TIME`,`UPD_ID`,`UPD_TIME`,`ACT_ID`,`ACT_TIME`,`VER`) VALUES ('321', '卖家分销资格', '卖家分销资格', '标准分销卖家', '1', '0', 'admin', now(), 'admin', now(), 'admin', now(), 1);</v>
      </c>
    </row>
    <row r="326" spans="2:11">
      <c r="B326" s="44">
        <f t="shared" si="6"/>
        <v>322</v>
      </c>
      <c r="C326" s="44" t="s">
        <v>197</v>
      </c>
      <c r="D326" s="44" t="s">
        <v>197</v>
      </c>
      <c r="E326" s="44" t="s">
        <v>201</v>
      </c>
      <c r="F326" s="67">
        <v>2</v>
      </c>
      <c r="G326" s="44">
        <v>0</v>
      </c>
      <c r="H326" s="44" t="s">
        <v>46</v>
      </c>
      <c r="I326" s="45"/>
      <c r="K326" s="19" t="str">
        <f t="shared" si="9"/>
        <v>INSERT INTO `comm_constant` (`ID`,`CONSTANT_TYPE`,`CONSTANT_TYPE_NAME`,`CONSTANT_NAME`,`CONSTANT_VALUE`,`DEL_FLG`,`CRT_ID`,`CRT_TIME`,`UPD_ID`,`UPD_TIME`,`ACT_ID`,`ACT_TIME`,`VER`) VALUES ('322', '卖家分销资格', '卖家分销资格', '优良分销卖家', '2', '0', 'admin', now(), 'admin', now(), 'admin', now(), 1);</v>
      </c>
    </row>
    <row r="327" spans="2:11">
      <c r="B327" s="44">
        <f t="shared" si="6"/>
        <v>323</v>
      </c>
      <c r="C327" s="44" t="s">
        <v>197</v>
      </c>
      <c r="D327" s="44" t="s">
        <v>197</v>
      </c>
      <c r="E327" s="44" t="s">
        <v>202</v>
      </c>
      <c r="F327" s="67">
        <v>3</v>
      </c>
      <c r="G327" s="44">
        <v>0</v>
      </c>
      <c r="H327" s="44" t="s">
        <v>46</v>
      </c>
      <c r="I327" s="45"/>
      <c r="K327" s="19" t="str">
        <f t="shared" si="9"/>
        <v>INSERT INTO `comm_constant` (`ID`,`CONSTANT_TYPE`,`CONSTANT_TYPE_NAME`,`CONSTANT_NAME`,`CONSTANT_VALUE`,`DEL_FLG`,`CRT_ID`,`CRT_TIME`,`UPD_ID`,`UPD_TIME`,`ACT_ID`,`ACT_TIME`,`VER`) VALUES ('323', '卖家分销资格', '卖家分销资格', '重点分销卖家', '3', '0', 'admin', now(), 'admin', now(), 'admin', now(), 1);</v>
      </c>
    </row>
    <row r="328" spans="2:11">
      <c r="B328" s="44">
        <f t="shared" si="6"/>
        <v>324</v>
      </c>
      <c r="C328" s="44" t="s">
        <v>55</v>
      </c>
      <c r="D328" s="44" t="s">
        <v>55</v>
      </c>
      <c r="E328" s="44" t="s">
        <v>203</v>
      </c>
      <c r="F328" s="67">
        <v>0</v>
      </c>
      <c r="G328" s="44">
        <v>0</v>
      </c>
      <c r="H328" s="44" t="s">
        <v>46</v>
      </c>
      <c r="I328" s="45" t="s">
        <v>204</v>
      </c>
      <c r="K328" s="19" t="str">
        <f t="shared" si="9"/>
        <v>INSERT INTO `comm_constant` (`ID`,`CONSTANT_TYPE`,`CONSTANT_TYPE_NAME`,`CONSTANT_NAME`,`CONSTANT_VALUE`,`DEL_FLG`,`CRT_ID`,`CRT_TIME`,`UPD_ID`,`UPD_TIME`,`ACT_ID`,`ACT_TIME`,`VER`) VALUES ('324', '是否必须', '是否必须', '不必须', '0', '0', 'admin', now(), 'admin', now(), 'admin', now(), 1);</v>
      </c>
    </row>
    <row r="329" spans="2:11">
      <c r="B329" s="44">
        <f t="shared" si="6"/>
        <v>325</v>
      </c>
      <c r="C329" s="44" t="s">
        <v>55</v>
      </c>
      <c r="D329" s="44" t="s">
        <v>55</v>
      </c>
      <c r="E329" s="44" t="s">
        <v>205</v>
      </c>
      <c r="F329" s="67">
        <v>1</v>
      </c>
      <c r="G329" s="44">
        <v>0</v>
      </c>
      <c r="H329" s="44" t="s">
        <v>46</v>
      </c>
      <c r="I329" s="45"/>
      <c r="K329" s="19" t="str">
        <f t="shared" si="9"/>
        <v>INSERT INTO `comm_constant` (`ID`,`CONSTANT_TYPE`,`CONSTANT_TYPE_NAME`,`CONSTANT_NAME`,`CONSTANT_VALUE`,`DEL_FLG`,`CRT_ID`,`CRT_TIME`,`UPD_ID`,`UPD_TIME`,`ACT_ID`,`ACT_TIME`,`VER`) VALUES ('325', '是否必须', '是否必须', '必须', '1', '0', 'admin', now(), 'admin', now(), 'admin', now(), 1);</v>
      </c>
    </row>
    <row r="330" spans="2:11">
      <c r="B330" s="44">
        <f t="shared" si="6"/>
        <v>326</v>
      </c>
      <c r="C330" s="44" t="s">
        <v>55</v>
      </c>
      <c r="D330" s="44" t="s">
        <v>55</v>
      </c>
      <c r="E330" s="44" t="s">
        <v>206</v>
      </c>
      <c r="F330" s="67">
        <v>2</v>
      </c>
      <c r="G330" s="44">
        <v>0</v>
      </c>
      <c r="H330" s="44" t="s">
        <v>46</v>
      </c>
      <c r="I330" s="45"/>
      <c r="K330" s="19" t="str">
        <f t="shared" si="9"/>
        <v>INSERT INTO `comm_constant` (`ID`,`CONSTANT_TYPE`,`CONSTANT_TYPE_NAME`,`CONSTANT_NAME`,`CONSTANT_VALUE`,`DEL_FLG`,`CRT_ID`,`CRT_TIME`,`UPD_ID`,`UPD_TIME`,`ACT_ID`,`ACT_TIME`,`VER`) VALUES ('326', '是否必须', '是否必须', '按产品类别', '2', '0', 'admin', now(), 'admin', now(), 'admin', now(), 1);</v>
      </c>
    </row>
    <row r="331" spans="2:11">
      <c r="B331" s="44">
        <f t="shared" si="6"/>
        <v>327</v>
      </c>
      <c r="C331" s="44" t="s">
        <v>207</v>
      </c>
      <c r="D331" s="44" t="s">
        <v>207</v>
      </c>
      <c r="E331" s="44" t="s">
        <v>208</v>
      </c>
      <c r="F331" s="67">
        <v>0</v>
      </c>
      <c r="G331" s="44">
        <v>0</v>
      </c>
      <c r="H331" s="44" t="s">
        <v>46</v>
      </c>
      <c r="I331" s="45" t="s">
        <v>209</v>
      </c>
      <c r="K331" s="19" t="str">
        <f t="shared" ref="K331:K394" si="10">"INSERT INTO `comm_constant` (`ID`,`CONSTANT_TYPE`,`CONSTANT_TYPE_NAME`,`CONSTANT_NAME`,`CONSTANT_VALUE`,`DEL_FLG`,`CRT_ID`,`CRT_TIME`,`UPD_ID`,`UPD_TIME`,`ACT_ID`,`ACT_TIME`,`VER`) VALUES ("&amp;IF(B331="","NULL","'"&amp;B331&amp;"'")&amp;", "&amp;IF(C331="","NULL","'"&amp;C331&amp;"'")&amp;", "&amp;IF(D331="","NULL","'"&amp;D331&amp;"'")&amp;", "&amp;IF(E331="","NULL","'"&amp;E331&amp;"'")&amp;", "&amp;IF(F331="","NULL","'"&amp;F331&amp;"'")&amp;", "&amp;IF(G331="","NULL","'"&amp;G331&amp;"'")&amp;", 'admin', now(), 'admin', now(), 'admin', now(), 1);"</f>
        <v>INSERT INTO `comm_constant` (`ID`,`CONSTANT_TYPE`,`CONSTANT_TYPE_NAME`,`CONSTANT_NAME`,`CONSTANT_VALUE`,`DEL_FLG`,`CRT_ID`,`CRT_TIME`,`UPD_ID`,`UPD_TIME`,`ACT_ID`,`ACT_TIME`,`VER`) VALUES ('327', '品牌名称', '品牌名称', '品牌证书', '0', '0', 'admin', now(), 'admin', now(), 'admin', now(), 1);</v>
      </c>
    </row>
    <row r="332" spans="2:11">
      <c r="B332" s="44">
        <f t="shared" si="6"/>
        <v>328</v>
      </c>
      <c r="C332" s="44" t="s">
        <v>207</v>
      </c>
      <c r="D332" s="44" t="s">
        <v>207</v>
      </c>
      <c r="E332" s="44" t="s">
        <v>210</v>
      </c>
      <c r="F332" s="67">
        <v>1</v>
      </c>
      <c r="G332" s="44">
        <v>0</v>
      </c>
      <c r="H332" s="44" t="s">
        <v>46</v>
      </c>
      <c r="I332" s="45"/>
      <c r="K332" s="19" t="str">
        <f t="shared" si="10"/>
        <v>INSERT INTO `comm_constant` (`ID`,`CONSTANT_TYPE`,`CONSTANT_TYPE_NAME`,`CONSTANT_NAME`,`CONSTANT_VALUE`,`DEL_FLG`,`CRT_ID`,`CRT_TIME`,`UPD_ID`,`UPD_TIME`,`ACT_ID`,`ACT_TIME`,`VER`) VALUES ('328', '品牌名称', '品牌名称', '品牌包装', '1', '0', 'admin', now(), 'admin', now(), 'admin', now(), 1);</v>
      </c>
    </row>
    <row r="333" spans="2:11">
      <c r="B333" s="44">
        <f t="shared" si="6"/>
        <v>329</v>
      </c>
      <c r="C333" s="44" t="s">
        <v>207</v>
      </c>
      <c r="D333" s="44" t="s">
        <v>207</v>
      </c>
      <c r="E333" s="44" t="s">
        <v>211</v>
      </c>
      <c r="F333" s="67">
        <v>2</v>
      </c>
      <c r="G333" s="44">
        <v>0</v>
      </c>
      <c r="H333" s="44" t="s">
        <v>46</v>
      </c>
      <c r="I333" s="45"/>
      <c r="K333" s="19" t="str">
        <f t="shared" si="10"/>
        <v>INSERT INTO `comm_constant` (`ID`,`CONSTANT_TYPE`,`CONSTANT_TYPE_NAME`,`CONSTANT_NAME`,`CONSTANT_VALUE`,`DEL_FLG`,`CRT_ID`,`CRT_TIME`,`UPD_ID`,`UPD_TIME`,`ACT_ID`,`ACT_TIME`,`VER`) VALUES ('329', '品牌名称', '品牌名称', '品牌荣誉', '2', '0', 'admin', now(), 'admin', now(), 'admin', now(), 1);</v>
      </c>
    </row>
    <row r="334" spans="2:11">
      <c r="B334" s="44">
        <f t="shared" si="6"/>
        <v>330</v>
      </c>
      <c r="C334" s="76" t="s">
        <v>1026</v>
      </c>
      <c r="D334" s="76" t="s">
        <v>1026</v>
      </c>
      <c r="E334" s="76" t="s">
        <v>213</v>
      </c>
      <c r="F334" s="77">
        <v>1</v>
      </c>
      <c r="G334" s="76">
        <v>1</v>
      </c>
      <c r="H334" s="44" t="s">
        <v>46</v>
      </c>
      <c r="I334" s="45" t="s">
        <v>214</v>
      </c>
      <c r="K334" s="19"/>
    </row>
    <row r="335" spans="2:11">
      <c r="B335" s="44">
        <f t="shared" si="6"/>
        <v>331</v>
      </c>
      <c r="C335" s="76" t="s">
        <v>212</v>
      </c>
      <c r="D335" s="76" t="s">
        <v>212</v>
      </c>
      <c r="E335" s="76" t="s">
        <v>215</v>
      </c>
      <c r="F335" s="77">
        <v>2</v>
      </c>
      <c r="G335" s="76">
        <v>1</v>
      </c>
      <c r="H335" s="44" t="s">
        <v>46</v>
      </c>
      <c r="I335" s="45"/>
      <c r="K335" s="19"/>
    </row>
    <row r="336" spans="2:11">
      <c r="B336" s="44">
        <f t="shared" si="6"/>
        <v>332</v>
      </c>
      <c r="C336" s="76" t="s">
        <v>212</v>
      </c>
      <c r="D336" s="76" t="s">
        <v>212</v>
      </c>
      <c r="E336" s="76" t="s">
        <v>216</v>
      </c>
      <c r="F336" s="77">
        <v>3</v>
      </c>
      <c r="G336" s="76">
        <v>1</v>
      </c>
      <c r="H336" s="44" t="s">
        <v>46</v>
      </c>
      <c r="I336" s="45"/>
      <c r="K336" s="19"/>
    </row>
    <row r="337" spans="2:11">
      <c r="B337" s="44">
        <f t="shared" si="6"/>
        <v>333</v>
      </c>
      <c r="C337" s="76" t="s">
        <v>212</v>
      </c>
      <c r="D337" s="76" t="s">
        <v>212</v>
      </c>
      <c r="E337" s="76" t="s">
        <v>1027</v>
      </c>
      <c r="F337" s="77">
        <v>4</v>
      </c>
      <c r="G337" s="76">
        <v>1</v>
      </c>
      <c r="H337" s="44" t="s">
        <v>1028</v>
      </c>
      <c r="I337" s="45"/>
      <c r="K337" s="19"/>
    </row>
    <row r="338" spans="2:11" ht="24">
      <c r="B338" s="44">
        <f t="shared" si="6"/>
        <v>334</v>
      </c>
      <c r="C338" s="44" t="s">
        <v>217</v>
      </c>
      <c r="D338" s="44" t="s">
        <v>217</v>
      </c>
      <c r="E338" s="44" t="s">
        <v>160</v>
      </c>
      <c r="F338" s="67">
        <v>0</v>
      </c>
      <c r="G338" s="44">
        <v>0</v>
      </c>
      <c r="H338" s="44" t="s">
        <v>46</v>
      </c>
      <c r="I338" s="45" t="s">
        <v>218</v>
      </c>
      <c r="K338" s="19" t="str">
        <f t="shared" si="10"/>
        <v>INSERT INTO `comm_constant` (`ID`,`CONSTANT_TYPE`,`CONSTANT_TYPE_NAME`,`CONSTANT_NAME`,`CONSTANT_VALUE`,`DEL_FLG`,`CRT_ID`,`CRT_TIME`,`UPD_ID`,`UPD_TIME`,`ACT_ID`,`ACT_TIME`,`VER`) VALUES ('334', '产品技术标准定级监控人审核意见', '产品技术标准定级监控人审核意见', '待审核', '0', '0', 'admin', now(), 'admin', now(), 'admin', now(), 1);</v>
      </c>
    </row>
    <row r="339" spans="2:11">
      <c r="B339" s="44">
        <f t="shared" si="6"/>
        <v>335</v>
      </c>
      <c r="C339" s="44" t="s">
        <v>217</v>
      </c>
      <c r="D339" s="44" t="s">
        <v>217</v>
      </c>
      <c r="E339" s="44" t="s">
        <v>219</v>
      </c>
      <c r="F339" s="67">
        <v>1</v>
      </c>
      <c r="G339" s="44">
        <v>0</v>
      </c>
      <c r="H339" s="44" t="s">
        <v>46</v>
      </c>
      <c r="I339" s="45"/>
      <c r="K339" s="19" t="str">
        <f t="shared" si="10"/>
        <v>INSERT INTO `comm_constant` (`ID`,`CONSTANT_TYPE`,`CONSTANT_TYPE_NAME`,`CONSTANT_NAME`,`CONSTANT_VALUE`,`DEL_FLG`,`CRT_ID`,`CRT_TIME`,`UPD_ID`,`UPD_TIME`,`ACT_ID`,`ACT_TIME`,`VER`) VALUES ('335', '产品技术标准定级监控人审核意见', '产品技术标准定级监控人审核意见', '同意', '1', '0', 'admin', now(), 'admin', now(), 'admin', now(), 1);</v>
      </c>
    </row>
    <row r="340" spans="2:11">
      <c r="B340" s="44">
        <f t="shared" si="6"/>
        <v>336</v>
      </c>
      <c r="C340" s="44" t="s">
        <v>217</v>
      </c>
      <c r="D340" s="44" t="s">
        <v>217</v>
      </c>
      <c r="E340" s="44" t="s">
        <v>220</v>
      </c>
      <c r="F340" s="67">
        <v>2</v>
      </c>
      <c r="G340" s="44">
        <v>0</v>
      </c>
      <c r="H340" s="44" t="s">
        <v>46</v>
      </c>
      <c r="I340" s="45"/>
      <c r="K340" s="19" t="str">
        <f t="shared" si="10"/>
        <v>INSERT INTO `comm_constant` (`ID`,`CONSTANT_TYPE`,`CONSTANT_TYPE_NAME`,`CONSTANT_NAME`,`CONSTANT_VALUE`,`DEL_FLG`,`CRT_ID`,`CRT_TIME`,`UPD_ID`,`UPD_TIME`,`ACT_ID`,`ACT_TIME`,`VER`) VALUES ('336', '产品技术标准定级监控人审核意见', '产品技术标准定级监控人审核意见', '不同意', '2', '0', 'admin', now(), 'admin', now(), 'admin', now(), 1);</v>
      </c>
    </row>
    <row r="341" spans="2:11" ht="24">
      <c r="B341" s="44">
        <f t="shared" si="6"/>
        <v>337</v>
      </c>
      <c r="C341" s="76" t="s">
        <v>221</v>
      </c>
      <c r="D341" s="76" t="s">
        <v>221</v>
      </c>
      <c r="E341" s="76" t="s">
        <v>222</v>
      </c>
      <c r="F341" s="77">
        <v>1</v>
      </c>
      <c r="G341" s="76">
        <v>1</v>
      </c>
      <c r="H341" s="44" t="s">
        <v>46</v>
      </c>
      <c r="I341" s="45" t="s">
        <v>223</v>
      </c>
      <c r="K341" s="19"/>
    </row>
    <row r="342" spans="2:11">
      <c r="B342" s="44">
        <f t="shared" si="6"/>
        <v>338</v>
      </c>
      <c r="C342" s="76" t="s">
        <v>221</v>
      </c>
      <c r="D342" s="76" t="s">
        <v>221</v>
      </c>
      <c r="E342" s="76" t="s">
        <v>224</v>
      </c>
      <c r="F342" s="77">
        <v>2</v>
      </c>
      <c r="G342" s="76">
        <v>1</v>
      </c>
      <c r="H342" s="44" t="s">
        <v>46</v>
      </c>
      <c r="I342" s="45"/>
      <c r="K342" s="19"/>
    </row>
    <row r="343" spans="2:11">
      <c r="B343" s="44">
        <f t="shared" si="6"/>
        <v>339</v>
      </c>
      <c r="C343" s="76" t="s">
        <v>221</v>
      </c>
      <c r="D343" s="76" t="s">
        <v>221</v>
      </c>
      <c r="E343" s="76" t="s">
        <v>225</v>
      </c>
      <c r="F343" s="77">
        <v>3</v>
      </c>
      <c r="G343" s="76">
        <v>1</v>
      </c>
      <c r="H343" s="44" t="s">
        <v>46</v>
      </c>
      <c r="I343" s="45"/>
      <c r="K343" s="19"/>
    </row>
    <row r="344" spans="2:11">
      <c r="B344" s="44">
        <f t="shared" si="6"/>
        <v>340</v>
      </c>
      <c r="C344" s="44" t="s">
        <v>226</v>
      </c>
      <c r="D344" s="44" t="s">
        <v>226</v>
      </c>
      <c r="E344" s="44" t="s">
        <v>219</v>
      </c>
      <c r="F344" s="67">
        <v>1</v>
      </c>
      <c r="G344" s="44">
        <v>0</v>
      </c>
      <c r="H344" s="44" t="s">
        <v>46</v>
      </c>
      <c r="I344" s="45" t="s">
        <v>227</v>
      </c>
      <c r="K344" s="19" t="str">
        <f t="shared" si="10"/>
        <v>INSERT INTO `comm_constant` (`ID`,`CONSTANT_TYPE`,`CONSTANT_TYPE_NAME`,`CONSTANT_NAME`,`CONSTANT_VALUE`,`DEL_FLG`,`CRT_ID`,`CRT_TIME`,`UPD_ID`,`UPD_TIME`,`ACT_ID`,`ACT_TIME`,`VER`) VALUES ('340', '审核结果', '审核结果', '同意', '1', '0', 'admin', now(), 'admin', now(), 'admin', now(), 1);</v>
      </c>
    </row>
    <row r="345" spans="2:11">
      <c r="B345" s="44">
        <f t="shared" si="6"/>
        <v>341</v>
      </c>
      <c r="C345" s="44" t="s">
        <v>226</v>
      </c>
      <c r="D345" s="44" t="s">
        <v>226</v>
      </c>
      <c r="E345" s="44" t="s">
        <v>228</v>
      </c>
      <c r="F345" s="67">
        <v>2</v>
      </c>
      <c r="G345" s="44">
        <v>0</v>
      </c>
      <c r="H345" s="44" t="s">
        <v>46</v>
      </c>
      <c r="I345" s="45"/>
      <c r="K345" s="19" t="str">
        <f t="shared" si="10"/>
        <v>INSERT INTO `comm_constant` (`ID`,`CONSTANT_TYPE`,`CONSTANT_TYPE_NAME`,`CONSTANT_NAME`,`CONSTANT_VALUE`,`DEL_FLG`,`CRT_ID`,`CRT_TIME`,`UPD_ID`,`UPD_TIME`,`ACT_ID`,`ACT_TIME`,`VER`) VALUES ('341', '审核结果', '审核结果', '增加标准包装规格', '2', '0', 'admin', now(), 'admin', now(), 'admin', now(), 1);</v>
      </c>
    </row>
    <row r="346" spans="2:11">
      <c r="B346" s="44">
        <f t="shared" si="6"/>
        <v>342</v>
      </c>
      <c r="C346" s="44" t="s">
        <v>226</v>
      </c>
      <c r="D346" s="44" t="s">
        <v>226</v>
      </c>
      <c r="E346" s="44" t="s">
        <v>1029</v>
      </c>
      <c r="F346" s="67">
        <v>3</v>
      </c>
      <c r="G346" s="44">
        <v>0</v>
      </c>
      <c r="H346" s="44" t="s">
        <v>46</v>
      </c>
      <c r="I346" s="45"/>
      <c r="K346" s="19" t="str">
        <f t="shared" si="10"/>
        <v>INSERT INTO `comm_constant` (`ID`,`CONSTANT_TYPE`,`CONSTANT_TYPE_NAME`,`CONSTANT_NAME`,`CONSTANT_VALUE`,`DEL_FLG`,`CRT_ID`,`CRT_TIME`,`UPD_ID`,`UPD_TIME`,`ACT_ID`,`ACT_TIME`,`VER`) VALUES ('342', '审核结果', '审核结果', '要求执行平台标准', '3', '0', 'admin', now(), 'admin', now(), 'admin', now(), 1);</v>
      </c>
    </row>
    <row r="347" spans="2:11">
      <c r="B347" s="44">
        <f t="shared" si="6"/>
        <v>343</v>
      </c>
      <c r="C347" s="44" t="s">
        <v>229</v>
      </c>
      <c r="D347" s="44" t="s">
        <v>229</v>
      </c>
      <c r="E347" s="44" t="s">
        <v>230</v>
      </c>
      <c r="F347" s="67">
        <v>1</v>
      </c>
      <c r="G347" s="44">
        <v>0</v>
      </c>
      <c r="H347" s="44" t="s">
        <v>46</v>
      </c>
      <c r="I347" s="45" t="s">
        <v>231</v>
      </c>
      <c r="K347" s="19" t="str">
        <f t="shared" si="10"/>
        <v>INSERT INTO `comm_constant` (`ID`,`CONSTANT_TYPE`,`CONSTANT_TYPE_NAME`,`CONSTANT_NAME`,`CONSTANT_VALUE`,`DEL_FLG`,`CRT_ID`,`CRT_TIME`,`UPD_ID`,`UPD_TIME`,`ACT_ID`,`ACT_TIME`,`VER`) VALUES ('343', '品牌类型', '品牌类型', '自有品牌', '1', '0', 'admin', now(), 'admin', now(), 'admin', now(), 1);</v>
      </c>
    </row>
    <row r="348" spans="2:11">
      <c r="B348" s="44">
        <f t="shared" si="6"/>
        <v>344</v>
      </c>
      <c r="C348" s="44" t="s">
        <v>229</v>
      </c>
      <c r="D348" s="44" t="s">
        <v>229</v>
      </c>
      <c r="E348" s="44" t="s">
        <v>232</v>
      </c>
      <c r="F348" s="67">
        <v>2</v>
      </c>
      <c r="G348" s="44">
        <v>0</v>
      </c>
      <c r="H348" s="44" t="s">
        <v>46</v>
      </c>
      <c r="I348" s="45"/>
      <c r="K348" s="19" t="str">
        <f t="shared" si="10"/>
        <v>INSERT INTO `comm_constant` (`ID`,`CONSTANT_TYPE`,`CONSTANT_TYPE_NAME`,`CONSTANT_NAME`,`CONSTANT_VALUE`,`DEL_FLG`,`CRT_ID`,`CRT_TIME`,`UPD_ID`,`UPD_TIME`,`ACT_ID`,`ACT_TIME`,`VER`) VALUES ('344', '品牌类型', '品牌类型', '代理品牌', '2', '0', 'admin', now(), 'admin', now(), 'admin', now(), 1);</v>
      </c>
    </row>
    <row r="349" spans="2:11">
      <c r="B349" s="44">
        <f t="shared" si="6"/>
        <v>345</v>
      </c>
      <c r="C349" s="76" t="s">
        <v>233</v>
      </c>
      <c r="D349" s="76" t="s">
        <v>233</v>
      </c>
      <c r="E349" s="76" t="s">
        <v>234</v>
      </c>
      <c r="F349" s="77">
        <v>0</v>
      </c>
      <c r="G349" s="76">
        <v>1</v>
      </c>
      <c r="H349" s="44" t="s">
        <v>46</v>
      </c>
      <c r="I349" s="45" t="s">
        <v>235</v>
      </c>
      <c r="K349" s="19"/>
    </row>
    <row r="350" spans="2:11">
      <c r="B350" s="44">
        <f t="shared" ref="B350:B420" si="11">ROW()-4</f>
        <v>346</v>
      </c>
      <c r="C350" s="76" t="s">
        <v>233</v>
      </c>
      <c r="D350" s="76" t="s">
        <v>233</v>
      </c>
      <c r="E350" s="76" t="s">
        <v>219</v>
      </c>
      <c r="F350" s="77">
        <v>1</v>
      </c>
      <c r="G350" s="76">
        <v>1</v>
      </c>
      <c r="H350" s="44" t="s">
        <v>46</v>
      </c>
      <c r="I350" s="45"/>
      <c r="K350" s="19"/>
    </row>
    <row r="351" spans="2:11">
      <c r="B351" s="44">
        <f t="shared" si="11"/>
        <v>347</v>
      </c>
      <c r="C351" s="76" t="s">
        <v>233</v>
      </c>
      <c r="D351" s="76" t="s">
        <v>233</v>
      </c>
      <c r="E351" s="76" t="s">
        <v>220</v>
      </c>
      <c r="F351" s="77">
        <v>2</v>
      </c>
      <c r="G351" s="76">
        <v>1</v>
      </c>
      <c r="H351" s="44" t="s">
        <v>46</v>
      </c>
      <c r="I351" s="45"/>
      <c r="K351" s="19"/>
    </row>
    <row r="352" spans="2:11">
      <c r="B352" s="44">
        <f t="shared" si="7"/>
        <v>348</v>
      </c>
      <c r="C352" s="44" t="s">
        <v>382</v>
      </c>
      <c r="D352" s="44" t="s">
        <v>383</v>
      </c>
      <c r="E352" s="44" t="s">
        <v>384</v>
      </c>
      <c r="F352" s="67">
        <v>1</v>
      </c>
      <c r="G352" s="44">
        <v>0</v>
      </c>
      <c r="H352" s="44" t="s">
        <v>46</v>
      </c>
      <c r="I352" s="45" t="s">
        <v>385</v>
      </c>
      <c r="K352" s="19" t="str">
        <f t="shared" si="10"/>
        <v>INSERT INTO `comm_constant` (`ID`,`CONSTANT_TYPE`,`CONSTANT_TYPE_NAME`,`CONSTANT_NAME`,`CONSTANT_VALUE`,`DEL_FLG`,`CRT_ID`,`CRT_TIME`,`UPD_ID`,`UPD_TIME`,`ACT_ID`,`ACT_TIME`,`VER`) VALUES ('348', 'TeamPosition', '团队职务', '公司董事长', '1', '0', 'admin', now(), 'admin', now(), 'admin', now(), 1);</v>
      </c>
    </row>
    <row r="353" spans="2:11">
      <c r="B353" s="44">
        <f t="shared" si="7"/>
        <v>349</v>
      </c>
      <c r="C353" s="44" t="s">
        <v>382</v>
      </c>
      <c r="D353" s="44" t="s">
        <v>383</v>
      </c>
      <c r="E353" s="44" t="s">
        <v>386</v>
      </c>
      <c r="F353" s="67">
        <v>2</v>
      </c>
      <c r="G353" s="44">
        <v>0</v>
      </c>
      <c r="H353" s="44" t="s">
        <v>46</v>
      </c>
      <c r="I353" s="45" t="s">
        <v>385</v>
      </c>
      <c r="K353" s="19" t="str">
        <f t="shared" si="10"/>
        <v>INSERT INTO `comm_constant` (`ID`,`CONSTANT_TYPE`,`CONSTANT_TYPE_NAME`,`CONSTANT_NAME`,`CONSTANT_VALUE`,`DEL_FLG`,`CRT_ID`,`CRT_TIME`,`UPD_ID`,`UPD_TIME`,`ACT_ID`,`ACT_TIME`,`VER`) VALUES ('349', 'TeamPosition', '团队职务', '公司总经理', '2', '0', 'admin', now(), 'admin', now(), 'admin', now(), 1);</v>
      </c>
    </row>
    <row r="354" spans="2:11">
      <c r="B354" s="44">
        <f t="shared" si="7"/>
        <v>350</v>
      </c>
      <c r="C354" s="44" t="s">
        <v>382</v>
      </c>
      <c r="D354" s="44" t="s">
        <v>383</v>
      </c>
      <c r="E354" s="44" t="s">
        <v>387</v>
      </c>
      <c r="F354" s="67">
        <v>3</v>
      </c>
      <c r="G354" s="44">
        <v>0</v>
      </c>
      <c r="H354" s="44" t="s">
        <v>46</v>
      </c>
      <c r="I354" s="45" t="s">
        <v>385</v>
      </c>
      <c r="K354" s="19" t="str">
        <f t="shared" si="10"/>
        <v>INSERT INTO `comm_constant` (`ID`,`CONSTANT_TYPE`,`CONSTANT_TYPE_NAME`,`CONSTANT_NAME`,`CONSTANT_VALUE`,`DEL_FLG`,`CRT_ID`,`CRT_TIME`,`UPD_ID`,`UPD_TIME`,`ACT_ID`,`ACT_TIME`,`VER`) VALUES ('350', 'TeamPosition', '团队职务', '公司副总经理', '3', '0', 'admin', now(), 'admin', now(), 'admin', now(), 1);</v>
      </c>
    </row>
    <row r="355" spans="2:11">
      <c r="B355" s="44">
        <f t="shared" si="7"/>
        <v>351</v>
      </c>
      <c r="C355" s="44" t="s">
        <v>382</v>
      </c>
      <c r="D355" s="44" t="s">
        <v>383</v>
      </c>
      <c r="E355" s="44" t="s">
        <v>388</v>
      </c>
      <c r="F355" s="67">
        <v>4</v>
      </c>
      <c r="G355" s="44">
        <v>0</v>
      </c>
      <c r="H355" s="44" t="s">
        <v>46</v>
      </c>
      <c r="I355" s="45" t="s">
        <v>385</v>
      </c>
      <c r="K355" s="19" t="str">
        <f t="shared" si="10"/>
        <v>INSERT INTO `comm_constant` (`ID`,`CONSTANT_TYPE`,`CONSTANT_TYPE_NAME`,`CONSTANT_NAME`,`CONSTANT_VALUE`,`DEL_FLG`,`CRT_ID`,`CRT_TIME`,`UPD_ID`,`UPD_TIME`,`ACT_ID`,`ACT_TIME`,`VER`) VALUES ('351', 'TeamPosition', '团队职务', '销售部经理', '4', '0', 'admin', now(), 'admin', now(), 'admin', now(), 1);</v>
      </c>
    </row>
    <row r="356" spans="2:11">
      <c r="B356" s="44">
        <f t="shared" si="7"/>
        <v>352</v>
      </c>
      <c r="C356" s="44" t="s">
        <v>382</v>
      </c>
      <c r="D356" s="44" t="s">
        <v>383</v>
      </c>
      <c r="E356" s="44" t="s">
        <v>389</v>
      </c>
      <c r="F356" s="67">
        <v>5</v>
      </c>
      <c r="G356" s="44">
        <v>0</v>
      </c>
      <c r="H356" s="44" t="s">
        <v>46</v>
      </c>
      <c r="I356" s="45" t="s">
        <v>385</v>
      </c>
      <c r="K356" s="19" t="str">
        <f t="shared" si="10"/>
        <v>INSERT INTO `comm_constant` (`ID`,`CONSTANT_TYPE`,`CONSTANT_TYPE_NAME`,`CONSTANT_NAME`,`CONSTANT_VALUE`,`DEL_FLG`,`CRT_ID`,`CRT_TIME`,`UPD_ID`,`UPD_TIME`,`ACT_ID`,`ACT_TIME`,`VER`) VALUES ('352', 'TeamPosition', '团队职务', '品控部经理', '5', '0', 'admin', now(), 'admin', now(), 'admin', now(), 1);</v>
      </c>
    </row>
    <row r="357" spans="2:11">
      <c r="B357" s="44">
        <f t="shared" si="7"/>
        <v>353</v>
      </c>
      <c r="C357" s="44" t="s">
        <v>382</v>
      </c>
      <c r="D357" s="44" t="s">
        <v>383</v>
      </c>
      <c r="E357" s="44" t="s">
        <v>390</v>
      </c>
      <c r="F357" s="67">
        <v>6</v>
      </c>
      <c r="G357" s="44">
        <v>0</v>
      </c>
      <c r="H357" s="44" t="s">
        <v>46</v>
      </c>
      <c r="I357" s="45" t="s">
        <v>385</v>
      </c>
      <c r="K357" s="19" t="str">
        <f t="shared" si="10"/>
        <v>INSERT INTO `comm_constant` (`ID`,`CONSTANT_TYPE`,`CONSTANT_TYPE_NAME`,`CONSTANT_NAME`,`CONSTANT_VALUE`,`DEL_FLG`,`CRT_ID`,`CRT_TIME`,`UPD_ID`,`UPD_TIME`,`ACT_ID`,`ACT_TIME`,`VER`) VALUES ('353', 'TeamPosition', '团队职务', '财务部经理', '6', '0', 'admin', now(), 'admin', now(), 'admin', now(), 1);</v>
      </c>
    </row>
    <row r="358" spans="2:11">
      <c r="B358" s="44">
        <f t="shared" si="7"/>
        <v>354</v>
      </c>
      <c r="C358" s="44" t="s">
        <v>382</v>
      </c>
      <c r="D358" s="44" t="s">
        <v>383</v>
      </c>
      <c r="E358" s="44" t="s">
        <v>1030</v>
      </c>
      <c r="F358" s="67">
        <v>7</v>
      </c>
      <c r="G358" s="44">
        <v>0</v>
      </c>
      <c r="H358" s="44" t="s">
        <v>46</v>
      </c>
      <c r="I358" s="45" t="s">
        <v>385</v>
      </c>
      <c r="K358" s="19" t="str">
        <f t="shared" si="10"/>
        <v>INSERT INTO `comm_constant` (`ID`,`CONSTANT_TYPE`,`CONSTANT_TYPE_NAME`,`CONSTANT_NAME`,`CONSTANT_VALUE`,`DEL_FLG`,`CRT_ID`,`CRT_TIME`,`UPD_ID`,`UPD_TIME`,`ACT_ID`,`ACT_TIME`,`VER`) VALUES ('354', 'TeamPosition', '团队职务', '生产部经理', '7', '0', 'admin', now(), 'admin', now(), 'admin', now(), 1);</v>
      </c>
    </row>
    <row r="359" spans="2:11">
      <c r="B359" s="44">
        <f t="shared" si="7"/>
        <v>355</v>
      </c>
      <c r="C359" s="44" t="s">
        <v>382</v>
      </c>
      <c r="D359" s="44" t="s">
        <v>383</v>
      </c>
      <c r="E359" s="44" t="s">
        <v>1031</v>
      </c>
      <c r="F359" s="67">
        <v>8</v>
      </c>
      <c r="G359" s="44">
        <v>0</v>
      </c>
      <c r="H359" s="44" t="s">
        <v>46</v>
      </c>
      <c r="I359" s="45" t="s">
        <v>385</v>
      </c>
      <c r="K359" s="19" t="str">
        <f t="shared" si="10"/>
        <v>INSERT INTO `comm_constant` (`ID`,`CONSTANT_TYPE`,`CONSTANT_TYPE_NAME`,`CONSTANT_NAME`,`CONSTANT_VALUE`,`DEL_FLG`,`CRT_ID`,`CRT_TIME`,`UPD_ID`,`UPD_TIME`,`ACT_ID`,`ACT_TIME`,`VER`) VALUES ('355', 'TeamPosition', '团队职务', '营销负责人', '8', '0', 'admin', now(), 'admin', now(), 'admin', now(), 1);</v>
      </c>
    </row>
    <row r="360" spans="2:11">
      <c r="B360" s="44">
        <f t="shared" si="7"/>
        <v>356</v>
      </c>
      <c r="C360" s="44" t="s">
        <v>382</v>
      </c>
      <c r="D360" s="44" t="s">
        <v>383</v>
      </c>
      <c r="E360" s="44" t="s">
        <v>1032</v>
      </c>
      <c r="F360" s="67">
        <v>9</v>
      </c>
      <c r="G360" s="44">
        <v>0</v>
      </c>
      <c r="H360" s="44" t="s">
        <v>46</v>
      </c>
      <c r="I360" s="45" t="s">
        <v>385</v>
      </c>
      <c r="K360" s="19" t="str">
        <f t="shared" si="10"/>
        <v>INSERT INTO `comm_constant` (`ID`,`CONSTANT_TYPE`,`CONSTANT_TYPE_NAME`,`CONSTANT_NAME`,`CONSTANT_VALUE`,`DEL_FLG`,`CRT_ID`,`CRT_TIME`,`UPD_ID`,`UPD_TIME`,`ACT_ID`,`ACT_TIME`,`VER`) VALUES ('356', 'TeamPosition', '团队职务', '业务联系人', '9', '0', 'admin', now(), 'admin', now(), 'admin', now(), 1);</v>
      </c>
    </row>
    <row r="361" spans="2:11">
      <c r="B361" s="44">
        <f t="shared" si="7"/>
        <v>357</v>
      </c>
      <c r="C361" s="71" t="s">
        <v>1033</v>
      </c>
      <c r="D361" s="71" t="s">
        <v>391</v>
      </c>
      <c r="E361" s="71" t="s">
        <v>177</v>
      </c>
      <c r="F361" s="73">
        <v>1</v>
      </c>
      <c r="G361" s="71">
        <v>0</v>
      </c>
      <c r="H361" s="68" t="s">
        <v>46</v>
      </c>
      <c r="I361" s="68" t="s">
        <v>391</v>
      </c>
      <c r="K361" s="19" t="str">
        <f t="shared" si="10"/>
        <v>INSERT INTO `comm_constant` (`ID`,`CONSTANT_TYPE`,`CONSTANT_TYPE_NAME`,`CONSTANT_NAME`,`CONSTANT_VALUE`,`DEL_FLG`,`CRT_ID`,`CRT_TIME`,`UPD_ID`,`UPD_TIME`,`ACT_ID`,`ACT_TIME`,`VER`) VALUES ('357', 'SaleStatus', '销售状态', '申请中', '1', '0', 'admin', now(), 'admin', now(), 'admin', now(), 1);</v>
      </c>
    </row>
    <row r="362" spans="2:11">
      <c r="B362" s="44">
        <f t="shared" si="7"/>
        <v>358</v>
      </c>
      <c r="C362" s="71" t="s">
        <v>1034</v>
      </c>
      <c r="D362" s="71" t="s">
        <v>391</v>
      </c>
      <c r="E362" s="71" t="s">
        <v>392</v>
      </c>
      <c r="F362" s="73">
        <v>2</v>
      </c>
      <c r="G362" s="71">
        <v>0</v>
      </c>
      <c r="H362" s="68" t="s">
        <v>46</v>
      </c>
      <c r="I362" s="68" t="s">
        <v>391</v>
      </c>
      <c r="K362" s="19" t="str">
        <f t="shared" si="10"/>
        <v>INSERT INTO `comm_constant` (`ID`,`CONSTANT_TYPE`,`CONSTANT_TYPE_NAME`,`CONSTANT_NAME`,`CONSTANT_VALUE`,`DEL_FLG`,`CRT_ID`,`CRT_TIME`,`UPD_ID`,`UPD_TIME`,`ACT_ID`,`ACT_TIME`,`VER`) VALUES ('358', 'SaleStatus', '销售状态', '论证中', '2', '0', 'admin', now(), 'admin', now(), 'admin', now(), 1);</v>
      </c>
    </row>
    <row r="363" spans="2:11">
      <c r="B363" s="44">
        <f t="shared" si="7"/>
        <v>359</v>
      </c>
      <c r="C363" s="71" t="s">
        <v>1034</v>
      </c>
      <c r="D363" s="71" t="s">
        <v>391</v>
      </c>
      <c r="E363" s="71" t="s">
        <v>393</v>
      </c>
      <c r="F363" s="73">
        <v>3</v>
      </c>
      <c r="G363" s="71">
        <v>0</v>
      </c>
      <c r="H363" s="68" t="s">
        <v>46</v>
      </c>
      <c r="I363" s="68" t="s">
        <v>391</v>
      </c>
      <c r="K363" s="19" t="str">
        <f t="shared" si="10"/>
        <v>INSERT INTO `comm_constant` (`ID`,`CONSTANT_TYPE`,`CONSTANT_TYPE_NAME`,`CONSTANT_NAME`,`CONSTANT_VALUE`,`DEL_FLG`,`CRT_ID`,`CRT_TIME`,`UPD_ID`,`UPD_TIME`,`ACT_ID`,`ACT_TIME`,`VER`) VALUES ('359', 'SaleStatus', '销售状态', '禁止准入', '3', '0', 'admin', now(), 'admin', now(), 'admin', now(), 1);</v>
      </c>
    </row>
    <row r="364" spans="2:11">
      <c r="B364" s="44">
        <f t="shared" si="7"/>
        <v>360</v>
      </c>
      <c r="C364" s="71" t="s">
        <v>1034</v>
      </c>
      <c r="D364" s="71" t="s">
        <v>391</v>
      </c>
      <c r="E364" s="71" t="s">
        <v>394</v>
      </c>
      <c r="F364" s="73">
        <v>4</v>
      </c>
      <c r="G364" s="71">
        <v>0</v>
      </c>
      <c r="H364" s="68" t="s">
        <v>46</v>
      </c>
      <c r="I364" s="68" t="s">
        <v>391</v>
      </c>
      <c r="K364" s="19" t="str">
        <f t="shared" si="10"/>
        <v>INSERT INTO `comm_constant` (`ID`,`CONSTANT_TYPE`,`CONSTANT_TYPE_NAME`,`CONSTANT_NAME`,`CONSTANT_VALUE`,`DEL_FLG`,`CRT_ID`,`CRT_TIME`,`UPD_ID`,`UPD_TIME`,`ACT_ID`,`ACT_TIME`,`VER`) VALUES ('360', 'SaleStatus', '销售状态', '试销', '4', '0', 'admin', now(), 'admin', now(), 'admin', now(), 1);</v>
      </c>
    </row>
    <row r="365" spans="2:11">
      <c r="B365" s="44">
        <f t="shared" si="7"/>
        <v>361</v>
      </c>
      <c r="C365" s="71" t="s">
        <v>1034</v>
      </c>
      <c r="D365" s="71" t="s">
        <v>391</v>
      </c>
      <c r="E365" s="71" t="s">
        <v>395</v>
      </c>
      <c r="F365" s="73">
        <v>5</v>
      </c>
      <c r="G365" s="71">
        <v>0</v>
      </c>
      <c r="H365" s="68" t="s">
        <v>46</v>
      </c>
      <c r="I365" s="68" t="s">
        <v>391</v>
      </c>
      <c r="K365" s="19" t="str">
        <f t="shared" si="10"/>
        <v>INSERT INTO `comm_constant` (`ID`,`CONSTANT_TYPE`,`CONSTANT_TYPE_NAME`,`CONSTANT_NAME`,`CONSTANT_VALUE`,`DEL_FLG`,`CRT_ID`,`CRT_TIME`,`UPD_ID`,`UPD_TIME`,`ACT_ID`,`ACT_TIME`,`VER`) VALUES ('361', 'SaleStatus', '销售状态', '正式上线', '5', '0', 'admin', now(), 'admin', now(), 'admin', now(), 1);</v>
      </c>
    </row>
    <row r="366" spans="2:11">
      <c r="B366" s="44">
        <f t="shared" si="7"/>
        <v>362</v>
      </c>
      <c r="C366" s="71" t="s">
        <v>1034</v>
      </c>
      <c r="D366" s="71" t="s">
        <v>391</v>
      </c>
      <c r="E366" s="71" t="s">
        <v>396</v>
      </c>
      <c r="F366" s="73">
        <v>6</v>
      </c>
      <c r="G366" s="71">
        <v>0</v>
      </c>
      <c r="H366" s="68" t="s">
        <v>46</v>
      </c>
      <c r="I366" s="68" t="s">
        <v>391</v>
      </c>
      <c r="K366" s="19" t="str">
        <f t="shared" si="10"/>
        <v>INSERT INTO `comm_constant` (`ID`,`CONSTANT_TYPE`,`CONSTANT_TYPE_NAME`,`CONSTANT_NAME`,`CONSTANT_VALUE`,`DEL_FLG`,`CRT_ID`,`CRT_TIME`,`UPD_ID`,`UPD_TIME`,`ACT_ID`,`ACT_TIME`,`VER`) VALUES ('362', 'SaleStatus', '销售状态', '下线', '6', '0', 'admin', now(), 'admin', now(), 'admin', now(), 1);</v>
      </c>
    </row>
    <row r="367" spans="2:11">
      <c r="B367" s="44">
        <f t="shared" si="7"/>
        <v>363</v>
      </c>
      <c r="C367" s="71" t="s">
        <v>1034</v>
      </c>
      <c r="D367" s="71" t="s">
        <v>391</v>
      </c>
      <c r="E367" s="71" t="s">
        <v>397</v>
      </c>
      <c r="F367" s="73">
        <v>7</v>
      </c>
      <c r="G367" s="71">
        <v>0</v>
      </c>
      <c r="H367" s="71" t="s">
        <v>46</v>
      </c>
      <c r="I367" s="68" t="s">
        <v>391</v>
      </c>
      <c r="K367" s="19" t="str">
        <f t="shared" si="10"/>
        <v>INSERT INTO `comm_constant` (`ID`,`CONSTANT_TYPE`,`CONSTANT_TYPE_NAME`,`CONSTANT_NAME`,`CONSTANT_VALUE`,`DEL_FLG`,`CRT_ID`,`CRT_TIME`,`UPD_ID`,`UPD_TIME`,`ACT_ID`,`ACT_TIME`,`VER`) VALUES ('363', 'SaleStatus', '销售状态', '黑名单', '7', '0', 'admin', now(), 'admin', now(), 'admin', now(), 1);</v>
      </c>
    </row>
    <row r="368" spans="2:11">
      <c r="B368" s="44">
        <f t="shared" si="7"/>
        <v>364</v>
      </c>
      <c r="C368" s="71" t="s">
        <v>1035</v>
      </c>
      <c r="D368" s="71" t="s">
        <v>391</v>
      </c>
      <c r="E368" s="71" t="s">
        <v>398</v>
      </c>
      <c r="F368" s="73">
        <v>8</v>
      </c>
      <c r="G368" s="71">
        <v>0</v>
      </c>
      <c r="H368" s="71" t="s">
        <v>1036</v>
      </c>
      <c r="I368" s="68" t="s">
        <v>391</v>
      </c>
      <c r="K368" s="19" t="str">
        <f t="shared" si="10"/>
        <v>INSERT INTO `comm_constant` (`ID`,`CONSTANT_TYPE`,`CONSTANT_TYPE_NAME`,`CONSTANT_NAME`,`CONSTANT_VALUE`,`DEL_FLG`,`CRT_ID`,`CRT_TIME`,`UPD_ID`,`UPD_TIME`,`ACT_ID`,`ACT_TIME`,`VER`) VALUES ('364', 'SaleStatus', '销售状态', '缺货中', '8', '0', 'admin', now(), 'admin', now(), 'admin', now(), 1);</v>
      </c>
    </row>
    <row r="369" spans="2:11">
      <c r="B369" s="44">
        <f t="shared" si="7"/>
        <v>365</v>
      </c>
      <c r="C369" s="71" t="s">
        <v>1037</v>
      </c>
      <c r="D369" s="71" t="s">
        <v>1038</v>
      </c>
      <c r="E369" s="71" t="s">
        <v>1324</v>
      </c>
      <c r="F369" s="73">
        <v>0</v>
      </c>
      <c r="G369" s="71">
        <v>0</v>
      </c>
      <c r="H369" s="71" t="s">
        <v>1036</v>
      </c>
      <c r="I369" s="68" t="s">
        <v>1325</v>
      </c>
      <c r="K369" s="19" t="str">
        <f t="shared" si="10"/>
        <v>INSERT INTO `comm_constant` (`ID`,`CONSTANT_TYPE`,`CONSTANT_TYPE_NAME`,`CONSTANT_NAME`,`CONSTANT_VALUE`,`DEL_FLG`,`CRT_ID`,`CRT_TIME`,`UPD_ID`,`UPD_TIME`,`ACT_ID`,`ACT_TIME`,`VER`) VALUES ('365', 'SlMainClass', '卖家主分类', '生产型', '0', '0', 'admin', now(), 'admin', now(), 'admin', now(), 1);</v>
      </c>
    </row>
    <row r="370" spans="2:11">
      <c r="B370" s="44">
        <f t="shared" ref="B370:B395" si="12">ROW()-4</f>
        <v>366</v>
      </c>
      <c r="C370" s="71" t="s">
        <v>1037</v>
      </c>
      <c r="D370" s="71" t="s">
        <v>1038</v>
      </c>
      <c r="E370" s="71" t="s">
        <v>1326</v>
      </c>
      <c r="F370" s="73">
        <v>1</v>
      </c>
      <c r="G370" s="71">
        <v>0</v>
      </c>
      <c r="H370" s="71" t="s">
        <v>1036</v>
      </c>
      <c r="I370" s="68"/>
      <c r="K370" s="19" t="str">
        <f t="shared" si="10"/>
        <v>INSERT INTO `comm_constant` (`ID`,`CONSTANT_TYPE`,`CONSTANT_TYPE_NAME`,`CONSTANT_NAME`,`CONSTANT_VALUE`,`DEL_FLG`,`CRT_ID`,`CRT_TIME`,`UPD_ID`,`UPD_TIME`,`ACT_ID`,`ACT_TIME`,`VER`) VALUES ('366', 'SlMainClass', '卖家主分类', '自产型', '1', '0', 'admin', now(), 'admin', now(), 'admin', now(), 1);</v>
      </c>
    </row>
    <row r="371" spans="2:11">
      <c r="B371" s="44">
        <f t="shared" si="12"/>
        <v>367</v>
      </c>
      <c r="C371" s="71" t="s">
        <v>1037</v>
      </c>
      <c r="D371" s="71" t="s">
        <v>1038</v>
      </c>
      <c r="E371" s="71" t="s">
        <v>1327</v>
      </c>
      <c r="F371" s="73">
        <v>2</v>
      </c>
      <c r="G371" s="71">
        <v>0</v>
      </c>
      <c r="H371" s="71" t="s">
        <v>1036</v>
      </c>
      <c r="I371" s="68"/>
      <c r="K371" s="19" t="str">
        <f t="shared" si="10"/>
        <v>INSERT INTO `comm_constant` (`ID`,`CONSTANT_TYPE`,`CONSTANT_TYPE_NAME`,`CONSTANT_NAME`,`CONSTANT_VALUE`,`DEL_FLG`,`CRT_ID`,`CRT_TIME`,`UPD_ID`,`UPD_TIME`,`ACT_ID`,`ACT_TIME`,`VER`) VALUES ('367', 'SlMainClass', '卖家主分类', '代理型', '2', '0', 'admin', now(), 'admin', now(), 'admin', now(), 1);</v>
      </c>
    </row>
    <row r="372" spans="2:11">
      <c r="B372" s="44">
        <f t="shared" si="12"/>
        <v>368</v>
      </c>
      <c r="C372" s="71" t="s">
        <v>1037</v>
      </c>
      <c r="D372" s="71" t="s">
        <v>1038</v>
      </c>
      <c r="E372" s="71" t="s">
        <v>1328</v>
      </c>
      <c r="F372" s="73">
        <v>3</v>
      </c>
      <c r="G372" s="71">
        <v>0</v>
      </c>
      <c r="H372" s="71" t="s">
        <v>1036</v>
      </c>
      <c r="I372" s="68"/>
      <c r="K372" s="19" t="str">
        <f t="shared" si="10"/>
        <v>INSERT INTO `comm_constant` (`ID`,`CONSTANT_TYPE`,`CONSTANT_TYPE_NAME`,`CONSTANT_NAME`,`CONSTANT_VALUE`,`DEL_FLG`,`CRT_ID`,`CRT_TIME`,`UPD_ID`,`UPD_TIME`,`ACT_ID`,`ACT_TIME`,`VER`) VALUES ('368', 'SlMainClass', '卖家主分类', 'OEM型', '3', '0', 'admin', now(), 'admin', now(), 'admin', now(), 1);</v>
      </c>
    </row>
    <row r="373" spans="2:11">
      <c r="B373" s="44">
        <f t="shared" si="12"/>
        <v>369</v>
      </c>
      <c r="C373" s="71" t="s">
        <v>1037</v>
      </c>
      <c r="D373" s="71" t="s">
        <v>1038</v>
      </c>
      <c r="E373" s="71" t="s">
        <v>1329</v>
      </c>
      <c r="F373" s="73">
        <v>4</v>
      </c>
      <c r="G373" s="71">
        <v>0</v>
      </c>
      <c r="H373" s="71" t="s">
        <v>1036</v>
      </c>
      <c r="I373" s="68"/>
      <c r="K373" s="19" t="str">
        <f t="shared" si="10"/>
        <v>INSERT INTO `comm_constant` (`ID`,`CONSTANT_TYPE`,`CONSTANT_TYPE_NAME`,`CONSTANT_NAME`,`CONSTANT_VALUE`,`DEL_FLG`,`CRT_ID`,`CRT_TIME`,`UPD_ID`,`UPD_TIME`,`ACT_ID`,`ACT_TIME`,`VER`) VALUES ('369', 'SlMainClass', '卖家主分类', '买手型', '4', '0', 'admin', now(), 'admin', now(), 'admin', now(), 1);</v>
      </c>
    </row>
    <row r="374" spans="2:11">
      <c r="B374" s="44">
        <f t="shared" si="12"/>
        <v>370</v>
      </c>
      <c r="C374" s="71" t="s">
        <v>1330</v>
      </c>
      <c r="D374" s="71" t="s">
        <v>1331</v>
      </c>
      <c r="E374" s="71" t="s">
        <v>1332</v>
      </c>
      <c r="F374" s="73">
        <v>1</v>
      </c>
      <c r="G374" s="71">
        <v>0</v>
      </c>
      <c r="H374" s="71" t="s">
        <v>1036</v>
      </c>
      <c r="I374" s="68" t="s">
        <v>1333</v>
      </c>
      <c r="K374" s="19" t="str">
        <f t="shared" si="10"/>
        <v>INSERT INTO `comm_constant` (`ID`,`CONSTANT_TYPE`,`CONSTANT_TYPE_NAME`,`CONSTANT_NAME`,`CONSTANT_VALUE`,`DEL_FLG`,`CRT_ID`,`CRT_TIME`,`UPD_ID`,`UPD_TIME`,`ACT_ID`,`ACT_TIME`,`VER`) VALUES ('370', 'SlTncGradeCode', '产品技术标准定级(加工质量标准)', 'A1', '1', '0', 'admin', now(), 'admin', now(), 'admin', now(), 1);</v>
      </c>
    </row>
    <row r="375" spans="2:11">
      <c r="B375" s="44">
        <f t="shared" si="12"/>
        <v>371</v>
      </c>
      <c r="C375" s="71" t="s">
        <v>1330</v>
      </c>
      <c r="D375" s="71" t="s">
        <v>1331</v>
      </c>
      <c r="E375" s="71" t="s">
        <v>215</v>
      </c>
      <c r="F375" s="73">
        <v>2</v>
      </c>
      <c r="G375" s="71">
        <v>0</v>
      </c>
      <c r="H375" s="71" t="s">
        <v>1036</v>
      </c>
      <c r="I375" s="68"/>
      <c r="K375" s="19" t="str">
        <f t="shared" si="10"/>
        <v>INSERT INTO `comm_constant` (`ID`,`CONSTANT_TYPE`,`CONSTANT_TYPE_NAME`,`CONSTANT_NAME`,`CONSTANT_VALUE`,`DEL_FLG`,`CRT_ID`,`CRT_TIME`,`UPD_ID`,`UPD_TIME`,`ACT_ID`,`ACT_TIME`,`VER`) VALUES ('371', 'SlTncGradeCode', '产品技术标准定级(加工质量标准)', 'A2', '2', '0', 'admin', now(), 'admin', now(), 'admin', now(), 1);</v>
      </c>
    </row>
    <row r="376" spans="2:11">
      <c r="B376" s="44">
        <f t="shared" si="12"/>
        <v>372</v>
      </c>
      <c r="C376" s="71" t="s">
        <v>1330</v>
      </c>
      <c r="D376" s="71" t="s">
        <v>1331</v>
      </c>
      <c r="E376" s="71" t="s">
        <v>216</v>
      </c>
      <c r="F376" s="73">
        <v>3</v>
      </c>
      <c r="G376" s="71">
        <v>0</v>
      </c>
      <c r="H376" s="71" t="s">
        <v>1036</v>
      </c>
      <c r="I376" s="68"/>
      <c r="K376" s="19" t="str">
        <f t="shared" si="10"/>
        <v>INSERT INTO `comm_constant` (`ID`,`CONSTANT_TYPE`,`CONSTANT_TYPE_NAME`,`CONSTANT_NAME`,`CONSTANT_VALUE`,`DEL_FLG`,`CRT_ID`,`CRT_TIME`,`UPD_ID`,`UPD_TIME`,`ACT_ID`,`ACT_TIME`,`VER`) VALUES ('372', 'SlTncGradeCode', '产品技术标准定级(加工质量标准)', 'A3', '3', '0', 'admin', now(), 'admin', now(), 'admin', now(), 1);</v>
      </c>
    </row>
    <row r="377" spans="2:11">
      <c r="B377" s="44">
        <f t="shared" si="12"/>
        <v>373</v>
      </c>
      <c r="C377" s="71" t="s">
        <v>1330</v>
      </c>
      <c r="D377" s="71" t="s">
        <v>1331</v>
      </c>
      <c r="E377" s="71" t="s">
        <v>1334</v>
      </c>
      <c r="F377" s="73">
        <v>4</v>
      </c>
      <c r="G377" s="71">
        <v>0</v>
      </c>
      <c r="H377" s="71" t="s">
        <v>1036</v>
      </c>
      <c r="I377" s="68"/>
      <c r="K377" s="19" t="str">
        <f t="shared" si="10"/>
        <v>INSERT INTO `comm_constant` (`ID`,`CONSTANT_TYPE`,`CONSTANT_TYPE_NAME`,`CONSTANT_NAME`,`CONSTANT_VALUE`,`DEL_FLG`,`CRT_ID`,`CRT_TIME`,`UPD_ID`,`UPD_TIME`,`ACT_ID`,`ACT_TIME`,`VER`) VALUES ('373', 'SlTncGradeCode', '产品技术标准定级(加工质量标准)', '不通过', '4', '0', 'admin', now(), 'admin', now(), 'admin', now(), 1);</v>
      </c>
    </row>
    <row r="378" spans="2:11">
      <c r="B378" s="44">
        <f t="shared" si="12"/>
        <v>374</v>
      </c>
      <c r="C378" s="71" t="s">
        <v>1330</v>
      </c>
      <c r="D378" s="71" t="s">
        <v>1331</v>
      </c>
      <c r="E378" s="71" t="s">
        <v>1335</v>
      </c>
      <c r="F378" s="73">
        <v>5</v>
      </c>
      <c r="G378" s="71">
        <v>0</v>
      </c>
      <c r="H378" s="71" t="s">
        <v>1036</v>
      </c>
      <c r="I378" s="68"/>
      <c r="K378" s="19" t="str">
        <f t="shared" si="10"/>
        <v>INSERT INTO `comm_constant` (`ID`,`CONSTANT_TYPE`,`CONSTANT_TYPE_NAME`,`CONSTANT_NAME`,`CONSTANT_VALUE`,`DEL_FLG`,`CRT_ID`,`CRT_TIME`,`UPD_ID`,`UPD_TIME`,`ACT_ID`,`ACT_TIME`,`VER`) VALUES ('374', 'SlTncGradeCode', '产品技术标准定级(加工质量标准)', '讨论中', '5', '0', 'admin', now(), 'admin', now(), 'admin', now(), 1);</v>
      </c>
    </row>
    <row r="379" spans="2:11" ht="24">
      <c r="B379" s="44">
        <f t="shared" si="12"/>
        <v>375</v>
      </c>
      <c r="C379" s="71" t="s">
        <v>1336</v>
      </c>
      <c r="D379" s="71" t="s">
        <v>1337</v>
      </c>
      <c r="E379" s="71" t="s">
        <v>1338</v>
      </c>
      <c r="F379" s="73">
        <v>1</v>
      </c>
      <c r="G379" s="71">
        <v>0</v>
      </c>
      <c r="H379" s="71" t="s">
        <v>1036</v>
      </c>
      <c r="I379" s="68" t="s">
        <v>1339</v>
      </c>
      <c r="K379" s="19" t="str">
        <f t="shared" si="10"/>
        <v>INSERT INTO `comm_constant` (`ID`,`CONSTANT_TYPE`,`CONSTANT_TYPE_NAME`,`CONSTANT_NAME`,`CONSTANT_VALUE`,`DEL_FLG`,`CRT_ID`,`CRT_TIME`,`UPD_ID`,`UPD_TIME`,`ACT_ID`,`ACT_TIME`,`VER`) VALUES ('375', 'SlQltGradeCode', '产品质量标准定级', '优良', '1', '0', 'admin', now(), 'admin', now(), 'admin', now(), 1);</v>
      </c>
    </row>
    <row r="380" spans="2:11">
      <c r="B380" s="44">
        <f t="shared" si="12"/>
        <v>376</v>
      </c>
      <c r="C380" s="71" t="s">
        <v>1336</v>
      </c>
      <c r="D380" s="71" t="s">
        <v>1337</v>
      </c>
      <c r="E380" s="71" t="s">
        <v>1340</v>
      </c>
      <c r="F380" s="73">
        <v>2</v>
      </c>
      <c r="G380" s="71">
        <v>0</v>
      </c>
      <c r="H380" s="71" t="s">
        <v>1036</v>
      </c>
      <c r="I380" s="68"/>
      <c r="K380" s="19" t="str">
        <f t="shared" si="10"/>
        <v>INSERT INTO `comm_constant` (`ID`,`CONSTANT_TYPE`,`CONSTANT_TYPE_NAME`,`CONSTANT_NAME`,`CONSTANT_VALUE`,`DEL_FLG`,`CRT_ID`,`CRT_TIME`,`UPD_ID`,`UPD_TIME`,`ACT_ID`,`ACT_TIME`,`VER`) VALUES ('376', 'SlQltGradeCode', '产品质量标准定级', '合格', '2', '0', 'admin', now(), 'admin', now(), 'admin', now(), 1);</v>
      </c>
    </row>
    <row r="381" spans="2:11">
      <c r="B381" s="44">
        <f t="shared" si="12"/>
        <v>377</v>
      </c>
      <c r="C381" s="71" t="s">
        <v>1336</v>
      </c>
      <c r="D381" s="71" t="s">
        <v>1337</v>
      </c>
      <c r="E381" s="71" t="s">
        <v>1341</v>
      </c>
      <c r="F381" s="73">
        <v>3</v>
      </c>
      <c r="G381" s="71">
        <v>0</v>
      </c>
      <c r="H381" s="71" t="s">
        <v>1036</v>
      </c>
      <c r="I381" s="68"/>
      <c r="K381" s="19" t="str">
        <f t="shared" si="10"/>
        <v>INSERT INTO `comm_constant` (`ID`,`CONSTANT_TYPE`,`CONSTANT_TYPE_NAME`,`CONSTANT_NAME`,`CONSTANT_VALUE`,`DEL_FLG`,`CRT_ID`,`CRT_TIME`,`UPD_ID`,`UPD_TIME`,`ACT_ID`,`ACT_TIME`,`VER`) VALUES ('377', 'SlQltGradeCode', '产品质量标准定级', '不合格', '3', '0', 'admin', now(), 'admin', now(), 'admin', now(), 1);</v>
      </c>
    </row>
    <row r="382" spans="2:11">
      <c r="B382" s="44">
        <f t="shared" si="12"/>
        <v>378</v>
      </c>
      <c r="C382" s="71" t="s">
        <v>1336</v>
      </c>
      <c r="D382" s="71" t="s">
        <v>1337</v>
      </c>
      <c r="E382" s="71" t="s">
        <v>1342</v>
      </c>
      <c r="F382" s="73">
        <v>5</v>
      </c>
      <c r="G382" s="71">
        <v>0</v>
      </c>
      <c r="H382" s="71" t="s">
        <v>1036</v>
      </c>
      <c r="I382" s="68"/>
      <c r="K382" s="19" t="str">
        <f t="shared" si="10"/>
        <v>INSERT INTO `comm_constant` (`ID`,`CONSTANT_TYPE`,`CONSTANT_TYPE_NAME`,`CONSTANT_NAME`,`CONSTANT_VALUE`,`DEL_FLG`,`CRT_ID`,`CRT_TIME`,`UPD_ID`,`UPD_TIME`,`ACT_ID`,`ACT_TIME`,`VER`) VALUES ('378', 'SlQltGradeCode', '产品质量标准定级', '论证中', '5', '0', 'admin', now(), 'admin', now(), 'admin', now(), 1);</v>
      </c>
    </row>
    <row r="383" spans="2:11">
      <c r="B383" s="44">
        <f t="shared" si="12"/>
        <v>379</v>
      </c>
      <c r="C383" s="71" t="s">
        <v>1343</v>
      </c>
      <c r="D383" s="71" t="s">
        <v>1344</v>
      </c>
      <c r="E383" s="71" t="s">
        <v>1345</v>
      </c>
      <c r="F383" s="73">
        <v>0</v>
      </c>
      <c r="G383" s="71">
        <v>0</v>
      </c>
      <c r="H383" s="71" t="s">
        <v>1036</v>
      </c>
      <c r="I383" s="68" t="s">
        <v>1346</v>
      </c>
      <c r="K383" s="19" t="str">
        <f t="shared" si="10"/>
        <v>INSERT INTO `comm_constant` (`ID`,`CONSTANT_TYPE`,`CONSTANT_TYPE_NAME`,`CONSTANT_NAME`,`CONSTANT_VALUE`,`DEL_FLG`,`CRT_ID`,`CRT_TIME`,`UPD_ID`,`UPD_TIME`,`ACT_ID`,`ACT_TIME`,`VER`) VALUES ('379', 'AgreeFlg', '同意标志', '未录入', '0', '0', 'admin', now(), 'admin', now(), 'admin', now(), 1);</v>
      </c>
    </row>
    <row r="384" spans="2:11">
      <c r="B384" s="44">
        <f t="shared" si="12"/>
        <v>380</v>
      </c>
      <c r="C384" s="71" t="s">
        <v>1343</v>
      </c>
      <c r="D384" s="71" t="s">
        <v>1344</v>
      </c>
      <c r="E384" s="71" t="s">
        <v>1347</v>
      </c>
      <c r="F384" s="73">
        <v>1</v>
      </c>
      <c r="G384" s="71">
        <v>0</v>
      </c>
      <c r="H384" s="71" t="s">
        <v>1036</v>
      </c>
      <c r="I384" s="68"/>
      <c r="K384" s="19" t="str">
        <f t="shared" si="10"/>
        <v>INSERT INTO `comm_constant` (`ID`,`CONSTANT_TYPE`,`CONSTANT_TYPE_NAME`,`CONSTANT_NAME`,`CONSTANT_VALUE`,`DEL_FLG`,`CRT_ID`,`CRT_TIME`,`UPD_ID`,`UPD_TIME`,`ACT_ID`,`ACT_TIME`,`VER`) VALUES ('380', 'AgreeFlg', '同意标志', '同意', '1', '0', 'admin', now(), 'admin', now(), 'admin', now(), 1);</v>
      </c>
    </row>
    <row r="385" spans="2:11">
      <c r="B385" s="44">
        <f t="shared" si="12"/>
        <v>381</v>
      </c>
      <c r="C385" s="71" t="s">
        <v>1343</v>
      </c>
      <c r="D385" s="71" t="s">
        <v>1344</v>
      </c>
      <c r="E385" s="71" t="s">
        <v>1348</v>
      </c>
      <c r="F385" s="73">
        <v>2</v>
      </c>
      <c r="G385" s="71">
        <v>0</v>
      </c>
      <c r="H385" s="71" t="s">
        <v>1036</v>
      </c>
      <c r="I385" s="68"/>
      <c r="K385" s="19" t="str">
        <f t="shared" si="10"/>
        <v>INSERT INTO `comm_constant` (`ID`,`CONSTANT_TYPE`,`CONSTANT_TYPE_NAME`,`CONSTANT_NAME`,`CONSTANT_VALUE`,`DEL_FLG`,`CRT_ID`,`CRT_TIME`,`UPD_ID`,`UPD_TIME`,`ACT_ID`,`ACT_TIME`,`VER`) VALUES ('381', 'AgreeFlg', '同意标志', '不同意', '2', '0', 'admin', now(), 'admin', now(), 'admin', now(), 1);</v>
      </c>
    </row>
    <row r="386" spans="2:11">
      <c r="B386" s="44">
        <f t="shared" si="12"/>
        <v>382</v>
      </c>
      <c r="C386" s="71" t="s">
        <v>1349</v>
      </c>
      <c r="D386" s="71" t="s">
        <v>1350</v>
      </c>
      <c r="E386" s="71" t="s">
        <v>1351</v>
      </c>
      <c r="F386" s="73">
        <v>0</v>
      </c>
      <c r="G386" s="71">
        <v>0</v>
      </c>
      <c r="H386" s="71" t="s">
        <v>1036</v>
      </c>
      <c r="I386" s="68"/>
      <c r="K386" s="19" t="str">
        <f t="shared" si="10"/>
        <v>INSERT INTO `comm_constant` (`ID`,`CONSTANT_TYPE`,`CONSTANT_TYPE_NAME`,`CONSTANT_NAME`,`CONSTANT_VALUE`,`DEL_FLG`,`CRT_ID`,`CRT_TIME`,`UPD_ID`,`UPD_TIME`,`ACT_ID`,`ACT_TIME`,`VER`) VALUES ('382', 'BrandClass', '品牌分类', '卖家独立品牌', '0', '0', 'admin', now(), 'admin', now(), 'admin', now(), 1);</v>
      </c>
    </row>
    <row r="387" spans="2:11">
      <c r="B387" s="44">
        <f t="shared" si="12"/>
        <v>383</v>
      </c>
      <c r="C387" s="71" t="s">
        <v>1349</v>
      </c>
      <c r="D387" s="71" t="s">
        <v>1350</v>
      </c>
      <c r="E387" s="71" t="s">
        <v>1352</v>
      </c>
      <c r="F387" s="73">
        <v>1</v>
      </c>
      <c r="G387" s="71">
        <v>0</v>
      </c>
      <c r="H387" s="71" t="s">
        <v>1036</v>
      </c>
      <c r="I387" s="68"/>
      <c r="K387" s="19" t="str">
        <f t="shared" si="10"/>
        <v>INSERT INTO `comm_constant` (`ID`,`CONSTANT_TYPE`,`CONSTANT_TYPE_NAME`,`CONSTANT_NAME`,`CONSTANT_VALUE`,`DEL_FLG`,`CRT_ID`,`CRT_TIME`,`UPD_ID`,`UPD_TIME`,`ACT_ID`,`ACT_TIME`,`VER`) VALUES ('383', 'BrandClass', '品牌分类', '神农先生联合', '1', '0', 'admin', now(), 'admin', now(), 'admin', now(), 1);</v>
      </c>
    </row>
    <row r="388" spans="2:11">
      <c r="B388" s="44">
        <f t="shared" si="12"/>
        <v>384</v>
      </c>
      <c r="C388" s="71" t="s">
        <v>1349</v>
      </c>
      <c r="D388" s="71" t="s">
        <v>1350</v>
      </c>
      <c r="E388" s="71" t="s">
        <v>1353</v>
      </c>
      <c r="F388" s="73">
        <v>2</v>
      </c>
      <c r="G388" s="71">
        <v>0</v>
      </c>
      <c r="H388" s="71" t="s">
        <v>1036</v>
      </c>
      <c r="I388" s="68"/>
      <c r="K388" s="19" t="str">
        <f t="shared" si="10"/>
        <v>INSERT INTO `comm_constant` (`ID`,`CONSTANT_TYPE`,`CONSTANT_TYPE_NAME`,`CONSTANT_NAME`,`CONSTANT_VALUE`,`DEL_FLG`,`CRT_ID`,`CRT_TIME`,`UPD_ID`,`UPD_TIME`,`ACT_ID`,`ACT_TIME`,`VER`) VALUES ('384', 'BrandClass', '品牌分类', '神农客联合', '2', '0', 'admin', now(), 'admin', now(), 'admin', now(), 1);</v>
      </c>
    </row>
    <row r="389" spans="2:11">
      <c r="B389" s="44">
        <f t="shared" si="12"/>
        <v>385</v>
      </c>
      <c r="C389" s="71" t="s">
        <v>1349</v>
      </c>
      <c r="D389" s="71" t="s">
        <v>1350</v>
      </c>
      <c r="E389" s="71" t="s">
        <v>1354</v>
      </c>
      <c r="F389" s="73">
        <v>3</v>
      </c>
      <c r="G389" s="71">
        <v>0</v>
      </c>
      <c r="H389" s="71" t="s">
        <v>1036</v>
      </c>
      <c r="I389" s="68"/>
      <c r="K389" s="19" t="str">
        <f t="shared" si="10"/>
        <v>INSERT INTO `comm_constant` (`ID`,`CONSTANT_TYPE`,`CONSTANT_TYPE_NAME`,`CONSTANT_NAME`,`CONSTANT_VALUE`,`DEL_FLG`,`CRT_ID`,`CRT_TIME`,`UPD_ID`,`UPD_TIME`,`ACT_ID`,`ACT_TIME`,`VER`) VALUES ('385', 'BrandClass', '品牌分类', '神农人家联合', '3', '0', 'admin', now(), 'admin', now(), 'admin', now(), 1);</v>
      </c>
    </row>
    <row r="390" spans="2:11">
      <c r="B390" s="44">
        <f t="shared" si="12"/>
        <v>386</v>
      </c>
      <c r="C390" s="71" t="s">
        <v>1355</v>
      </c>
      <c r="D390" s="71" t="s">
        <v>1356</v>
      </c>
      <c r="E390" s="71" t="s">
        <v>1357</v>
      </c>
      <c r="F390" s="73">
        <v>1</v>
      </c>
      <c r="G390" s="71">
        <v>0</v>
      </c>
      <c r="H390" s="71" t="s">
        <v>1036</v>
      </c>
      <c r="I390" s="68"/>
      <c r="K390" s="19" t="str">
        <f t="shared" si="10"/>
        <v>INSERT INTO `comm_constant` (`ID`,`CONSTANT_TYPE`,`CONSTANT_TYPE_NAME`,`CONSTANT_NAME`,`CONSTANT_VALUE`,`DEL_FLG`,`CRT_ID`,`CRT_TIME`,`UPD_ID`,`UPD_TIME`,`ACT_ID`,`ACT_TIME`,`VER`) VALUES ('386', 'LeaderFlg', '是否负责人', '团队负责人', '1', '0', 'admin', now(), 'admin', now(), 'admin', now(), 1);</v>
      </c>
    </row>
    <row r="391" spans="2:11">
      <c r="B391" s="44">
        <f t="shared" si="12"/>
        <v>387</v>
      </c>
      <c r="C391" s="71" t="s">
        <v>1355</v>
      </c>
      <c r="D391" s="71" t="s">
        <v>1356</v>
      </c>
      <c r="E391" s="71" t="s">
        <v>1358</v>
      </c>
      <c r="F391" s="73">
        <v>0</v>
      </c>
      <c r="G391" s="71">
        <v>0</v>
      </c>
      <c r="H391" s="71" t="s">
        <v>1036</v>
      </c>
      <c r="I391" s="68"/>
      <c r="K391" s="19" t="str">
        <f t="shared" si="10"/>
        <v>INSERT INTO `comm_constant` (`ID`,`CONSTANT_TYPE`,`CONSTANT_TYPE_NAME`,`CONSTANT_NAME`,`CONSTANT_VALUE`,`DEL_FLG`,`CRT_ID`,`CRT_TIME`,`UPD_ID`,`UPD_TIME`,`ACT_ID`,`ACT_TIME`,`VER`) VALUES ('387', 'LeaderFlg', '是否负责人', '团队成员', '0', '0', 'admin', now(), 'admin', now(), 'admin', now(), 1);</v>
      </c>
    </row>
    <row r="392" spans="2:11">
      <c r="B392" s="44">
        <f t="shared" si="12"/>
        <v>388</v>
      </c>
      <c r="C392" s="71" t="s">
        <v>1359</v>
      </c>
      <c r="D392" s="71" t="s">
        <v>1360</v>
      </c>
      <c r="E392" s="71" t="s">
        <v>1361</v>
      </c>
      <c r="F392" s="73">
        <v>1</v>
      </c>
      <c r="G392" s="71">
        <v>0</v>
      </c>
      <c r="H392" s="71" t="s">
        <v>1036</v>
      </c>
      <c r="I392" s="68"/>
      <c r="K392" s="19" t="str">
        <f t="shared" si="10"/>
        <v>INSERT INTO `comm_constant` (`ID`,`CONSTANT_TYPE`,`CONSTANT_TYPE_NAME`,`CONSTANT_NAME`,`CONSTANT_VALUE`,`DEL_FLG`,`CRT_ID`,`CRT_TIME`,`UPD_ID`,`UPD_TIME`,`ACT_ID`,`ACT_TIME`,`VER`) VALUES ('388', 'PdCountry', '国别', '国内', '1', '0', 'admin', now(), 'admin', now(), 'admin', now(), 1);</v>
      </c>
    </row>
    <row r="393" spans="2:11">
      <c r="B393" s="44">
        <f t="shared" si="12"/>
        <v>389</v>
      </c>
      <c r="C393" s="71" t="s">
        <v>1359</v>
      </c>
      <c r="D393" s="71" t="s">
        <v>1360</v>
      </c>
      <c r="E393" s="71" t="s">
        <v>1362</v>
      </c>
      <c r="F393" s="73">
        <v>2</v>
      </c>
      <c r="G393" s="71">
        <v>0</v>
      </c>
      <c r="H393" s="71" t="s">
        <v>1036</v>
      </c>
      <c r="I393" s="68"/>
      <c r="K393" s="19" t="str">
        <f t="shared" si="10"/>
        <v>INSERT INTO `comm_constant` (`ID`,`CONSTANT_TYPE`,`CONSTANT_TYPE_NAME`,`CONSTANT_NAME`,`CONSTANT_VALUE`,`DEL_FLG`,`CRT_ID`,`CRT_TIME`,`UPD_ID`,`UPD_TIME`,`ACT_ID`,`ACT_TIME`,`VER`) VALUES ('389', 'PdCountry', '国别', '国外', '2', '0', 'admin', now(), 'admin', now(), 'admin', now(), 1);</v>
      </c>
    </row>
    <row r="394" spans="2:11">
      <c r="B394" s="44">
        <f t="shared" si="12"/>
        <v>390</v>
      </c>
      <c r="C394" s="71" t="s">
        <v>1363</v>
      </c>
      <c r="D394" s="71" t="s">
        <v>1364</v>
      </c>
      <c r="E394" s="71" t="s">
        <v>1365</v>
      </c>
      <c r="F394" s="73">
        <v>1</v>
      </c>
      <c r="G394" s="71">
        <v>0</v>
      </c>
      <c r="H394" s="71" t="s">
        <v>1036</v>
      </c>
      <c r="I394" s="68"/>
      <c r="K394" s="19" t="str">
        <f t="shared" si="10"/>
        <v>INSERT INTO `comm_constant` (`ID`,`CONSTANT_TYPE`,`CONSTANT_TYPE_NAME`,`CONSTANT_NAME`,`CONSTANT_VALUE`,`DEL_FLG`,`CRT_ID`,`CRT_TIME`,`UPD_ID`,`UPD_TIME`,`ACT_ID`,`ACT_TIME`,`VER`) VALUES ('390', 'BackType', '参考明细来源', '买家', '1', '0', 'admin', now(), 'admin', now(), 'admin', now(), 1);</v>
      </c>
    </row>
    <row r="395" spans="2:11">
      <c r="B395" s="44">
        <f t="shared" si="12"/>
        <v>391</v>
      </c>
      <c r="C395" s="71" t="s">
        <v>1363</v>
      </c>
      <c r="D395" s="71" t="s">
        <v>1364</v>
      </c>
      <c r="E395" s="71" t="s">
        <v>1366</v>
      </c>
      <c r="F395" s="73">
        <v>2</v>
      </c>
      <c r="G395" s="71">
        <v>0</v>
      </c>
      <c r="H395" s="71" t="s">
        <v>1036</v>
      </c>
      <c r="I395" s="68"/>
      <c r="K395" s="19" t="str">
        <f t="shared" ref="K395:K458" si="13">"INSERT INTO `comm_constant` (`ID`,`CONSTANT_TYPE`,`CONSTANT_TYPE_NAME`,`CONSTANT_NAME`,`CONSTANT_VALUE`,`DEL_FLG`,`CRT_ID`,`CRT_TIME`,`UPD_ID`,`UPD_TIME`,`ACT_ID`,`ACT_TIME`,`VER`) VALUES ("&amp;IF(B395="","NULL","'"&amp;B395&amp;"'")&amp;", "&amp;IF(C395="","NULL","'"&amp;C395&amp;"'")&amp;", "&amp;IF(D395="","NULL","'"&amp;D395&amp;"'")&amp;", "&amp;IF(E395="","NULL","'"&amp;E395&amp;"'")&amp;", "&amp;IF(F395="","NULL","'"&amp;F395&amp;"'")&amp;", "&amp;IF(G395="","NULL","'"&amp;G395&amp;"'")&amp;", 'admin', now(), 'admin', now(), 'admin', now(), 1);"</f>
        <v>INSERT INTO `comm_constant` (`ID`,`CONSTANT_TYPE`,`CONSTANT_TYPE_NAME`,`CONSTANT_NAME`,`CONSTANT_VALUE`,`DEL_FLG`,`CRT_ID`,`CRT_TIME`,`UPD_ID`,`UPD_TIME`,`ACT_ID`,`ACT_TIME`,`VER`) VALUES ('391', 'BackType', '参考明细来源', '卖家', '2', '0', 'admin', now(), 'admin', now(), 'admin', now(), 1);</v>
      </c>
    </row>
    <row r="396" spans="2:11">
      <c r="B396" s="44">
        <f t="shared" si="11"/>
        <v>392</v>
      </c>
      <c r="C396" s="44" t="s">
        <v>236</v>
      </c>
      <c r="D396" s="44" t="s">
        <v>236</v>
      </c>
      <c r="E396" s="44" t="s">
        <v>237</v>
      </c>
      <c r="F396" s="67">
        <v>1</v>
      </c>
      <c r="G396" s="44">
        <v>0</v>
      </c>
      <c r="H396" s="44" t="s">
        <v>47</v>
      </c>
      <c r="I396" s="45" t="s">
        <v>238</v>
      </c>
      <c r="K396" s="19" t="str">
        <f t="shared" si="13"/>
        <v>INSERT INTO `comm_constant` (`ID`,`CONSTANT_TYPE`,`CONSTANT_TYPE_NAME`,`CONSTANT_NAME`,`CONSTANT_VALUE`,`DEL_FLG`,`CRT_ID`,`CRT_TIME`,`UPD_ID`,`UPD_TIME`,`ACT_ID`,`ACT_TIME`,`VER`) VALUES ('392', '产品加工程度', '产品加工程度', '白条', '1', '0', 'admin', now(), 'admin', now(), 'admin', now(), 1);</v>
      </c>
    </row>
    <row r="397" spans="2:11">
      <c r="B397" s="44">
        <f t="shared" si="11"/>
        <v>393</v>
      </c>
      <c r="C397" s="44" t="s">
        <v>236</v>
      </c>
      <c r="D397" s="44" t="s">
        <v>236</v>
      </c>
      <c r="E397" s="44" t="s">
        <v>239</v>
      </c>
      <c r="F397" s="67">
        <v>2</v>
      </c>
      <c r="G397" s="44">
        <v>0</v>
      </c>
      <c r="H397" s="44" t="s">
        <v>47</v>
      </c>
      <c r="I397" s="45"/>
      <c r="K397" s="19" t="str">
        <f t="shared" si="13"/>
        <v>INSERT INTO `comm_constant` (`ID`,`CONSTANT_TYPE`,`CONSTANT_TYPE_NAME`,`CONSTANT_NAME`,`CONSTANT_VALUE`,`DEL_FLG`,`CRT_ID`,`CRT_TIME`,`UPD_ID`,`UPD_TIME`,`ACT_ID`,`ACT_TIME`,`VER`) VALUES ('393', '产品加工程度', '产品加工程度', '分割品', '2', '0', 'admin', now(), 'admin', now(), 'admin', now(), 1);</v>
      </c>
    </row>
    <row r="398" spans="2:11">
      <c r="B398" s="44">
        <f t="shared" si="11"/>
        <v>394</v>
      </c>
      <c r="C398" s="44" t="s">
        <v>236</v>
      </c>
      <c r="D398" s="44" t="s">
        <v>236</v>
      </c>
      <c r="E398" s="44" t="s">
        <v>240</v>
      </c>
      <c r="F398" s="67">
        <v>3</v>
      </c>
      <c r="G398" s="44">
        <v>0</v>
      </c>
      <c r="H398" s="44" t="s">
        <v>47</v>
      </c>
      <c r="I398" s="45"/>
      <c r="K398" s="19" t="str">
        <f t="shared" si="13"/>
        <v>INSERT INTO `comm_constant` (`ID`,`CONSTANT_TYPE`,`CONSTANT_TYPE_NAME`,`CONSTANT_NAME`,`CONSTANT_VALUE`,`DEL_FLG`,`CRT_ID`,`CRT_TIME`,`UPD_ID`,`UPD_TIME`,`ACT_ID`,`ACT_TIME`,`VER`) VALUES ('394', '产品加工程度', '产品加工程度', '副产品', '3', '0', 'admin', now(), 'admin', now(), 'admin', now(), 1);</v>
      </c>
    </row>
    <row r="399" spans="2:11">
      <c r="B399" s="44">
        <f t="shared" si="11"/>
        <v>395</v>
      </c>
      <c r="C399" s="44" t="s">
        <v>236</v>
      </c>
      <c r="D399" s="44" t="s">
        <v>236</v>
      </c>
      <c r="E399" s="44" t="s">
        <v>241</v>
      </c>
      <c r="F399" s="67">
        <v>4</v>
      </c>
      <c r="G399" s="44">
        <v>0</v>
      </c>
      <c r="H399" s="44" t="s">
        <v>47</v>
      </c>
      <c r="I399" s="45"/>
      <c r="K399" s="19" t="str">
        <f t="shared" si="13"/>
        <v>INSERT INTO `comm_constant` (`ID`,`CONSTANT_TYPE`,`CONSTANT_TYPE_NAME`,`CONSTANT_NAME`,`CONSTANT_VALUE`,`DEL_FLG`,`CRT_ID`,`CRT_TIME`,`UPD_ID`,`UPD_TIME`,`ACT_ID`,`ACT_TIME`,`VER`) VALUES ('395', '产品加工程度', '产品加工程度', '净料', '4', '0', 'admin', now(), 'admin', now(), 'admin', now(), 1);</v>
      </c>
    </row>
    <row r="400" spans="2:11">
      <c r="B400" s="44">
        <f t="shared" si="11"/>
        <v>396</v>
      </c>
      <c r="C400" s="44" t="s">
        <v>236</v>
      </c>
      <c r="D400" s="44" t="s">
        <v>236</v>
      </c>
      <c r="E400" s="44" t="s">
        <v>242</v>
      </c>
      <c r="F400" s="67">
        <v>5</v>
      </c>
      <c r="G400" s="44">
        <v>0</v>
      </c>
      <c r="H400" s="44" t="s">
        <v>47</v>
      </c>
      <c r="I400" s="45"/>
      <c r="K400" s="19" t="str">
        <f t="shared" si="13"/>
        <v>INSERT INTO `comm_constant` (`ID`,`CONSTANT_TYPE`,`CONSTANT_TYPE_NAME`,`CONSTANT_NAME`,`CONSTANT_VALUE`,`DEL_FLG`,`CRT_ID`,`CRT_TIME`,`UPD_ID`,`UPD_TIME`,`ACT_ID`,`ACT_TIME`,`VER`) VALUES ('396', '产品加工程度', '产品加工程度', '调理品(生)', '5', '0', 'admin', now(), 'admin', now(), 'admin', now(), 1);</v>
      </c>
    </row>
    <row r="401" spans="2:11">
      <c r="B401" s="44">
        <f t="shared" si="11"/>
        <v>397</v>
      </c>
      <c r="C401" s="44" t="s">
        <v>236</v>
      </c>
      <c r="D401" s="44" t="s">
        <v>236</v>
      </c>
      <c r="E401" s="44" t="s">
        <v>243</v>
      </c>
      <c r="F401" s="67">
        <v>6</v>
      </c>
      <c r="G401" s="44">
        <v>0</v>
      </c>
      <c r="H401" s="44" t="s">
        <v>47</v>
      </c>
      <c r="I401" s="45"/>
      <c r="K401" s="19" t="str">
        <f t="shared" si="13"/>
        <v>INSERT INTO `comm_constant` (`ID`,`CONSTANT_TYPE`,`CONSTANT_TYPE_NAME`,`CONSTANT_NAME`,`CONSTANT_VALUE`,`DEL_FLG`,`CRT_ID`,`CRT_TIME`,`UPD_ID`,`UPD_TIME`,`ACT_ID`,`ACT_TIME`,`VER`) VALUES ('397', '产品加工程度', '产品加工程度', '调理品(熟)', '6', '0', 'admin', now(), 'admin', now(), 'admin', now(), 1);</v>
      </c>
    </row>
    <row r="402" spans="2:11">
      <c r="B402" s="44">
        <f t="shared" ref="B402:B482" si="14">ROW()-4</f>
        <v>398</v>
      </c>
      <c r="C402" s="44" t="s">
        <v>1039</v>
      </c>
      <c r="D402" s="44" t="s">
        <v>1040</v>
      </c>
      <c r="E402" s="44" t="s">
        <v>1041</v>
      </c>
      <c r="F402" s="67">
        <v>0</v>
      </c>
      <c r="G402" s="44">
        <v>0</v>
      </c>
      <c r="H402" s="44" t="s">
        <v>47</v>
      </c>
      <c r="I402" s="44"/>
      <c r="K402" s="19" t="str">
        <f t="shared" si="13"/>
        <v>INSERT INTO `comm_constant` (`ID`,`CONSTANT_TYPE`,`CONSTANT_TYPE_NAME`,`CONSTANT_NAME`,`CONSTANT_VALUE`,`DEL_FLG`,`CRT_ID`,`CRT_TIME`,`UPD_ID`,`UPD_TIME`,`ACT_ID`,`ACT_TIME`,`VER`) VALUES ('398', 'ProductMarketType', '产品营销类型', '主力产品', '0', '0', 'admin', now(), 'admin', now(), 'admin', now(), 1);</v>
      </c>
    </row>
    <row r="403" spans="2:11">
      <c r="B403" s="44">
        <f t="shared" si="14"/>
        <v>399</v>
      </c>
      <c r="C403" s="44" t="s">
        <v>1039</v>
      </c>
      <c r="D403" s="44" t="s">
        <v>1040</v>
      </c>
      <c r="E403" s="44" t="s">
        <v>1042</v>
      </c>
      <c r="F403" s="67">
        <v>1</v>
      </c>
      <c r="G403" s="44">
        <v>0</v>
      </c>
      <c r="H403" s="44" t="s">
        <v>47</v>
      </c>
      <c r="I403" s="44"/>
      <c r="K403" s="19" t="str">
        <f t="shared" si="13"/>
        <v>INSERT INTO `comm_constant` (`ID`,`CONSTANT_TYPE`,`CONSTANT_TYPE_NAME`,`CONSTANT_NAME`,`CONSTANT_VALUE`,`DEL_FLG`,`CRT_ID`,`CRT_TIME`,`UPD_ID`,`UPD_TIME`,`ACT_ID`,`ACT_TIME`,`VER`) VALUES ('399', 'ProductMarketType', '产品营销类型', '标准产品', '1', '0', 'admin', now(), 'admin', now(), 'admin', now(), 1);</v>
      </c>
    </row>
    <row r="404" spans="2:11">
      <c r="B404" s="44">
        <f t="shared" si="14"/>
        <v>400</v>
      </c>
      <c r="C404" s="44" t="s">
        <v>1039</v>
      </c>
      <c r="D404" s="44" t="s">
        <v>1040</v>
      </c>
      <c r="E404" s="44" t="s">
        <v>1043</v>
      </c>
      <c r="F404" s="67">
        <v>2</v>
      </c>
      <c r="G404" s="44">
        <v>0</v>
      </c>
      <c r="H404" s="44" t="s">
        <v>47</v>
      </c>
      <c r="I404" s="44"/>
      <c r="K404" s="19" t="str">
        <f t="shared" si="13"/>
        <v>INSERT INTO `comm_constant` (`ID`,`CONSTANT_TYPE`,`CONSTANT_TYPE_NAME`,`CONSTANT_NAME`,`CONSTANT_VALUE`,`DEL_FLG`,`CRT_ID`,`CRT_TIME`,`UPD_ID`,`UPD_TIME`,`ACT_ID`,`ACT_TIME`,`VER`) VALUES ('400', 'ProductMarketType', '产品营销类型', '量少产品', '2', '0', 'admin', now(), 'admin', now(), 'admin', now(), 1);</v>
      </c>
    </row>
    <row r="405" spans="2:11">
      <c r="B405" s="44">
        <f t="shared" si="11"/>
        <v>401</v>
      </c>
      <c r="C405" s="44" t="s">
        <v>244</v>
      </c>
      <c r="D405" s="44" t="s">
        <v>245</v>
      </c>
      <c r="E405" s="44" t="s">
        <v>246</v>
      </c>
      <c r="F405" s="67">
        <v>1</v>
      </c>
      <c r="G405" s="44">
        <v>0</v>
      </c>
      <c r="H405" s="44" t="s">
        <v>48</v>
      </c>
      <c r="I405" s="45" t="s">
        <v>247</v>
      </c>
      <c r="K405" s="19" t="str">
        <f t="shared" si="13"/>
        <v>INSERT INTO `comm_constant` (`ID`,`CONSTANT_TYPE`,`CONSTANT_TYPE_NAME`,`CONSTANT_NAME`,`CONSTANT_VALUE`,`DEL_FLG`,`CRT_ID`,`CRT_TIME`,`UPD_ID`,`UPD_TIME`,`ACT_ID`,`ACT_TIME`,`VER`) VALUES ('401', 'PdStockType', '产品库存类型', '生产期产品', '1', '0', 'admin', now(), 'admin', now(), 'admin', now(), 1);</v>
      </c>
    </row>
    <row r="406" spans="2:11">
      <c r="B406" s="44">
        <f t="shared" si="11"/>
        <v>402</v>
      </c>
      <c r="C406" s="44" t="s">
        <v>244</v>
      </c>
      <c r="D406" s="44" t="s">
        <v>245</v>
      </c>
      <c r="E406" s="44" t="s">
        <v>248</v>
      </c>
      <c r="F406" s="67">
        <v>2</v>
      </c>
      <c r="G406" s="44">
        <v>0</v>
      </c>
      <c r="H406" s="44" t="s">
        <v>48</v>
      </c>
      <c r="I406" s="45"/>
      <c r="K406" s="19" t="str">
        <f t="shared" si="13"/>
        <v>INSERT INTO `comm_constant` (`ID`,`CONSTANT_TYPE`,`CONSTANT_TYPE_NAME`,`CONSTANT_NAME`,`CONSTANT_VALUE`,`DEL_FLG`,`CRT_ID`,`CRT_TIME`,`UPD_ID`,`UPD_TIME`,`ACT_ID`,`ACT_TIME`,`VER`) VALUES ('402', 'PdStockType', '产品库存类型', '待运库产品', '2', '0', 'admin', now(), 'admin', now(), 'admin', now(), 1);</v>
      </c>
    </row>
    <row r="407" spans="2:11">
      <c r="B407" s="44">
        <f t="shared" si="11"/>
        <v>403</v>
      </c>
      <c r="C407" s="44" t="s">
        <v>244</v>
      </c>
      <c r="D407" s="44" t="s">
        <v>245</v>
      </c>
      <c r="E407" s="44" t="s">
        <v>249</v>
      </c>
      <c r="F407" s="67">
        <v>3</v>
      </c>
      <c r="G407" s="44">
        <v>0</v>
      </c>
      <c r="H407" s="44" t="s">
        <v>48</v>
      </c>
      <c r="I407" s="45"/>
      <c r="K407" s="19" t="str">
        <f t="shared" si="13"/>
        <v>INSERT INTO `comm_constant` (`ID`,`CONSTANT_TYPE`,`CONSTANT_TYPE_NAME`,`CONSTANT_NAME`,`CONSTANT_VALUE`,`DEL_FLG`,`CRT_ID`,`CRT_TIME`,`UPD_ID`,`UPD_TIME`,`ACT_ID`,`ACT_TIME`,`VER`) VALUES ('403', 'PdStockType', '产品库存类型', '在途产品', '3', '0', 'admin', now(), 'admin', now(), 'admin', now(), 1);</v>
      </c>
    </row>
    <row r="408" spans="2:11">
      <c r="B408" s="44">
        <f t="shared" si="11"/>
        <v>404</v>
      </c>
      <c r="C408" s="44" t="s">
        <v>244</v>
      </c>
      <c r="D408" s="44" t="s">
        <v>245</v>
      </c>
      <c r="E408" s="44" t="s">
        <v>250</v>
      </c>
      <c r="F408" s="67">
        <v>4</v>
      </c>
      <c r="G408" s="44">
        <v>0</v>
      </c>
      <c r="H408" s="44" t="s">
        <v>48</v>
      </c>
      <c r="I408" s="45"/>
      <c r="K408" s="19" t="str">
        <f t="shared" si="13"/>
        <v>INSERT INTO `comm_constant` (`ID`,`CONSTANT_TYPE`,`CONSTANT_TYPE_NAME`,`CONSTANT_NAME`,`CONSTANT_VALUE`,`DEL_FLG`,`CRT_ID`,`CRT_TIME`,`UPD_ID`,`UPD_TIME`,`ACT_ID`,`ACT_TIME`,`VER`) VALUES ('404', 'PdStockType', '产品库存类型', '入销售库产品', '4', '0', 'admin', now(), 'admin', now(), 'admin', now(), 1);</v>
      </c>
    </row>
    <row r="409" spans="2:11" ht="24">
      <c r="B409" s="44">
        <f t="shared" si="11"/>
        <v>405</v>
      </c>
      <c r="C409" s="44" t="s">
        <v>251</v>
      </c>
      <c r="D409" s="44" t="s">
        <v>252</v>
      </c>
      <c r="E409" s="44" t="s">
        <v>253</v>
      </c>
      <c r="F409" s="67">
        <v>1</v>
      </c>
      <c r="G409" s="44">
        <v>0</v>
      </c>
      <c r="H409" s="44" t="s">
        <v>48</v>
      </c>
      <c r="I409" s="45" t="s">
        <v>254</v>
      </c>
      <c r="K409" s="19" t="str">
        <f t="shared" si="13"/>
        <v>INSERT INTO `comm_constant` (`ID`,`CONSTANT_TYPE`,`CONSTANT_TYPE_NAME`,`CONSTANT_NAME`,`CONSTANT_VALUE`,`DEL_FLG`,`CRT_ID`,`CRT_TIME`,`UPD_ID`,`UPD_TIME`,`ACT_ID`,`ACT_TIME`,`VER`) VALUES ('405', 'HalfCodeType', '半旬代码', '21-25日', '1', '0', 'admin', now(), 'admin', now(), 'admin', now(), 1);</v>
      </c>
    </row>
    <row r="410" spans="2:11">
      <c r="B410" s="44">
        <f t="shared" si="11"/>
        <v>406</v>
      </c>
      <c r="C410" s="44" t="s">
        <v>251</v>
      </c>
      <c r="D410" s="44" t="s">
        <v>252</v>
      </c>
      <c r="E410" s="44" t="s">
        <v>255</v>
      </c>
      <c r="F410" s="67">
        <v>2</v>
      </c>
      <c r="G410" s="44">
        <v>0</v>
      </c>
      <c r="H410" s="44" t="s">
        <v>48</v>
      </c>
      <c r="I410" s="45"/>
      <c r="K410" s="19" t="str">
        <f t="shared" si="13"/>
        <v>INSERT INTO `comm_constant` (`ID`,`CONSTANT_TYPE`,`CONSTANT_TYPE_NAME`,`CONSTANT_NAME`,`CONSTANT_VALUE`,`DEL_FLG`,`CRT_ID`,`CRT_TIME`,`UPD_ID`,`UPD_TIME`,`ACT_ID`,`ACT_TIME`,`VER`) VALUES ('406', 'HalfCodeType', '半旬代码', '26-N日', '2', '0', 'admin', now(), 'admin', now(), 'admin', now(), 1);</v>
      </c>
    </row>
    <row r="411" spans="2:11">
      <c r="B411" s="44">
        <f t="shared" si="11"/>
        <v>407</v>
      </c>
      <c r="C411" s="44" t="s">
        <v>251</v>
      </c>
      <c r="D411" s="44" t="s">
        <v>252</v>
      </c>
      <c r="E411" s="44" t="s">
        <v>256</v>
      </c>
      <c r="F411" s="67">
        <v>3</v>
      </c>
      <c r="G411" s="44">
        <v>0</v>
      </c>
      <c r="H411" s="44" t="s">
        <v>48</v>
      </c>
      <c r="I411" s="45"/>
      <c r="K411" s="19" t="str">
        <f t="shared" si="13"/>
        <v>INSERT INTO `comm_constant` (`ID`,`CONSTANT_TYPE`,`CONSTANT_TYPE_NAME`,`CONSTANT_NAME`,`CONSTANT_VALUE`,`DEL_FLG`,`CRT_ID`,`CRT_TIME`,`UPD_ID`,`UPD_TIME`,`ACT_ID`,`ACT_TIME`,`VER`) VALUES ('407', 'HalfCodeType', '半旬代码', '1-5日', '3', '0', 'admin', now(), 'admin', now(), 'admin', now(), 1);</v>
      </c>
    </row>
    <row r="412" spans="2:11">
      <c r="B412" s="44">
        <f t="shared" si="11"/>
        <v>408</v>
      </c>
      <c r="C412" s="44" t="s">
        <v>251</v>
      </c>
      <c r="D412" s="44" t="s">
        <v>252</v>
      </c>
      <c r="E412" s="44" t="s">
        <v>257</v>
      </c>
      <c r="F412" s="67">
        <v>4</v>
      </c>
      <c r="G412" s="44">
        <v>0</v>
      </c>
      <c r="H412" s="44" t="s">
        <v>48</v>
      </c>
      <c r="I412" s="45"/>
      <c r="K412" s="19" t="str">
        <f t="shared" si="13"/>
        <v>INSERT INTO `comm_constant` (`ID`,`CONSTANT_TYPE`,`CONSTANT_TYPE_NAME`,`CONSTANT_NAME`,`CONSTANT_VALUE`,`DEL_FLG`,`CRT_ID`,`CRT_TIME`,`UPD_ID`,`UPD_TIME`,`ACT_ID`,`ACT_TIME`,`VER`) VALUES ('408', 'HalfCodeType', '半旬代码', '6-10日', '4', '0', 'admin', now(), 'admin', now(), 'admin', now(), 1);</v>
      </c>
    </row>
    <row r="413" spans="2:11">
      <c r="B413" s="44">
        <f t="shared" si="11"/>
        <v>409</v>
      </c>
      <c r="C413" s="44" t="s">
        <v>251</v>
      </c>
      <c r="D413" s="44" t="s">
        <v>252</v>
      </c>
      <c r="E413" s="44" t="s">
        <v>258</v>
      </c>
      <c r="F413" s="67">
        <v>5</v>
      </c>
      <c r="G413" s="44">
        <v>0</v>
      </c>
      <c r="H413" s="44" t="s">
        <v>48</v>
      </c>
      <c r="I413" s="45"/>
      <c r="K413" s="19" t="str">
        <f t="shared" si="13"/>
        <v>INSERT INTO `comm_constant` (`ID`,`CONSTANT_TYPE`,`CONSTANT_TYPE_NAME`,`CONSTANT_NAME`,`CONSTANT_VALUE`,`DEL_FLG`,`CRT_ID`,`CRT_TIME`,`UPD_ID`,`UPD_TIME`,`ACT_ID`,`ACT_TIME`,`VER`) VALUES ('409', 'HalfCodeType', '半旬代码', '11-15日', '5', '0', 'admin', now(), 'admin', now(), 'admin', now(), 1);</v>
      </c>
    </row>
    <row r="414" spans="2:11">
      <c r="B414" s="44">
        <f t="shared" si="11"/>
        <v>410</v>
      </c>
      <c r="C414" s="44" t="s">
        <v>251</v>
      </c>
      <c r="D414" s="44" t="s">
        <v>252</v>
      </c>
      <c r="E414" s="44" t="s">
        <v>259</v>
      </c>
      <c r="F414" s="67">
        <v>6</v>
      </c>
      <c r="G414" s="44">
        <v>0</v>
      </c>
      <c r="H414" s="44" t="s">
        <v>48</v>
      </c>
      <c r="I414" s="45"/>
      <c r="K414" s="19" t="str">
        <f t="shared" si="13"/>
        <v>INSERT INTO `comm_constant` (`ID`,`CONSTANT_TYPE`,`CONSTANT_TYPE_NAME`,`CONSTANT_NAME`,`CONSTANT_VALUE`,`DEL_FLG`,`CRT_ID`,`CRT_TIME`,`UPD_ID`,`UPD_TIME`,`ACT_ID`,`ACT_TIME`,`VER`) VALUES ('410', 'HalfCodeType', '半旬代码', '16-20日', '6', '0', 'admin', now(), 'admin', now(), 'admin', now(), 1);</v>
      </c>
    </row>
    <row r="415" spans="2:11">
      <c r="B415" s="44">
        <f t="shared" si="11"/>
        <v>411</v>
      </c>
      <c r="C415" s="44" t="s">
        <v>260</v>
      </c>
      <c r="D415" s="44" t="s">
        <v>261</v>
      </c>
      <c r="E415" s="44" t="s">
        <v>262</v>
      </c>
      <c r="F415" s="67">
        <v>1</v>
      </c>
      <c r="G415" s="44">
        <v>0</v>
      </c>
      <c r="H415" s="44" t="s">
        <v>48</v>
      </c>
      <c r="I415" s="45" t="s">
        <v>263</v>
      </c>
      <c r="K415" s="19" t="str">
        <f t="shared" si="13"/>
        <v>INSERT INTO `comm_constant` (`ID`,`CONSTANT_TYPE`,`CONSTANT_TYPE_NAME`,`CONSTANT_NAME`,`CONSTANT_VALUE`,`DEL_FLG`,`CRT_ID`,`CRT_TIME`,`UPD_ID`,`UPD_TIME`,`ACT_ID`,`ACT_TIME`,`VER`) VALUES ('411', 'DeliveryStockStatus', '发货入库状态', '未申请', '1', '0', 'admin', now(), 'admin', now(), 'admin', now(), 1);</v>
      </c>
    </row>
    <row r="416" spans="2:11">
      <c r="B416" s="44">
        <f t="shared" si="11"/>
        <v>412</v>
      </c>
      <c r="C416" s="44" t="s">
        <v>260</v>
      </c>
      <c r="D416" s="44" t="s">
        <v>261</v>
      </c>
      <c r="E416" s="44" t="s">
        <v>177</v>
      </c>
      <c r="F416" s="67">
        <v>2</v>
      </c>
      <c r="G416" s="44">
        <v>0</v>
      </c>
      <c r="H416" s="44" t="s">
        <v>48</v>
      </c>
      <c r="I416" s="45" t="s">
        <v>264</v>
      </c>
      <c r="K416" s="19" t="str">
        <f t="shared" si="13"/>
        <v>INSERT INTO `comm_constant` (`ID`,`CONSTANT_TYPE`,`CONSTANT_TYPE_NAME`,`CONSTANT_NAME`,`CONSTANT_VALUE`,`DEL_FLG`,`CRT_ID`,`CRT_TIME`,`UPD_ID`,`UPD_TIME`,`ACT_ID`,`ACT_TIME`,`VER`) VALUES ('412', 'DeliveryStockStatus', '发货入库状态', '申请中', '2', '0', 'admin', now(), 'admin', now(), 'admin', now(), 1);</v>
      </c>
    </row>
    <row r="417" spans="2:11">
      <c r="B417" s="44">
        <f t="shared" si="11"/>
        <v>413</v>
      </c>
      <c r="C417" s="44" t="s">
        <v>260</v>
      </c>
      <c r="D417" s="44" t="s">
        <v>261</v>
      </c>
      <c r="E417" s="44" t="s">
        <v>164</v>
      </c>
      <c r="F417" s="67">
        <v>3</v>
      </c>
      <c r="G417" s="44">
        <v>0</v>
      </c>
      <c r="H417" s="44" t="s">
        <v>48</v>
      </c>
      <c r="I417" s="45" t="s">
        <v>265</v>
      </c>
      <c r="K417" s="19" t="str">
        <f t="shared" si="13"/>
        <v>INSERT INTO `comm_constant` (`ID`,`CONSTANT_TYPE`,`CONSTANT_TYPE_NAME`,`CONSTANT_NAME`,`CONSTANT_VALUE`,`DEL_FLG`,`CRT_ID`,`CRT_TIME`,`UPD_ID`,`UPD_TIME`,`ACT_ID`,`ACT_TIME`,`VER`) VALUES ('413', 'DeliveryStockStatus', '发货入库状态', '已确认', '3', '0', 'admin', now(), 'admin', now(), 'admin', now(), 1);</v>
      </c>
    </row>
    <row r="418" spans="2:11">
      <c r="B418" s="44">
        <f t="shared" si="11"/>
        <v>414</v>
      </c>
      <c r="C418" s="44" t="s">
        <v>260</v>
      </c>
      <c r="D418" s="44" t="s">
        <v>261</v>
      </c>
      <c r="E418" s="44" t="s">
        <v>178</v>
      </c>
      <c r="F418" s="67">
        <v>4</v>
      </c>
      <c r="G418" s="44">
        <v>0</v>
      </c>
      <c r="H418" s="44" t="s">
        <v>48</v>
      </c>
      <c r="I418" s="45" t="s">
        <v>266</v>
      </c>
      <c r="K418" s="19" t="str">
        <f t="shared" si="13"/>
        <v>INSERT INTO `comm_constant` (`ID`,`CONSTANT_TYPE`,`CONSTANT_TYPE_NAME`,`CONSTANT_NAME`,`CONSTANT_VALUE`,`DEL_FLG`,`CRT_ID`,`CRT_TIME`,`UPD_ID`,`UPD_TIME`,`ACT_ID`,`ACT_TIME`,`VER`) VALUES ('414', 'DeliveryStockStatus', '发货入库状态', '待收货', '4', '0', 'admin', now(), 'admin', now(), 'admin', now(), 1);</v>
      </c>
    </row>
    <row r="419" spans="2:11">
      <c r="B419" s="44">
        <f t="shared" si="11"/>
        <v>415</v>
      </c>
      <c r="C419" s="44" t="s">
        <v>260</v>
      </c>
      <c r="D419" s="44" t="s">
        <v>261</v>
      </c>
      <c r="E419" s="44" t="s">
        <v>181</v>
      </c>
      <c r="F419" s="67">
        <v>5</v>
      </c>
      <c r="G419" s="44">
        <v>0</v>
      </c>
      <c r="H419" s="44" t="s">
        <v>48</v>
      </c>
      <c r="I419" s="45" t="s">
        <v>267</v>
      </c>
      <c r="K419" s="19" t="str">
        <f t="shared" si="13"/>
        <v>INSERT INTO `comm_constant` (`ID`,`CONSTANT_TYPE`,`CONSTANT_TYPE_NAME`,`CONSTANT_NAME`,`CONSTANT_VALUE`,`DEL_FLG`,`CRT_ID`,`CRT_TIME`,`UPD_ID`,`UPD_TIME`,`ACT_ID`,`ACT_TIME`,`VER`) VALUES ('415', 'DeliveryStockStatus', '发货入库状态', '已收货', '5', '0', 'admin', now(), 'admin', now(), 'admin', now(), 1);</v>
      </c>
    </row>
    <row r="420" spans="2:11">
      <c r="B420" s="44">
        <f t="shared" si="11"/>
        <v>416</v>
      </c>
      <c r="C420" s="44" t="s">
        <v>260</v>
      </c>
      <c r="D420" s="44" t="s">
        <v>261</v>
      </c>
      <c r="E420" s="44" t="s">
        <v>167</v>
      </c>
      <c r="F420" s="67">
        <v>6</v>
      </c>
      <c r="G420" s="44">
        <v>0</v>
      </c>
      <c r="H420" s="44" t="s">
        <v>48</v>
      </c>
      <c r="I420" s="45" t="s">
        <v>268</v>
      </c>
      <c r="K420" s="19" t="str">
        <f t="shared" si="13"/>
        <v>INSERT INTO `comm_constant` (`ID`,`CONSTANT_TYPE`,`CONSTANT_TYPE_NAME`,`CONSTANT_NAME`,`CONSTANT_VALUE`,`DEL_FLG`,`CRT_ID`,`CRT_TIME`,`UPD_ID`,`UPD_TIME`,`ACT_ID`,`ACT_TIME`,`VER`) VALUES ('416', 'DeliveryStockStatus', '发货入库状态', '部分收货', '6', '0', 'admin', now(), 'admin', now(), 'admin', now(), 1);</v>
      </c>
    </row>
    <row r="421" spans="2:11">
      <c r="B421" s="44">
        <f t="shared" si="2"/>
        <v>417</v>
      </c>
      <c r="C421" s="44" t="s">
        <v>1044</v>
      </c>
      <c r="D421" s="44" t="s">
        <v>1045</v>
      </c>
      <c r="E421" s="62" t="s">
        <v>1046</v>
      </c>
      <c r="F421" s="67">
        <v>1</v>
      </c>
      <c r="G421" s="44">
        <v>0</v>
      </c>
      <c r="H421" s="44" t="s">
        <v>1047</v>
      </c>
      <c r="I421" s="44" t="s">
        <v>1048</v>
      </c>
      <c r="K421" s="19" t="str">
        <f t="shared" si="13"/>
        <v>INSERT INTO `comm_constant` (`ID`,`CONSTANT_TYPE`,`CONSTANT_TYPE_NAME`,`CONSTANT_NAME`,`CONSTANT_VALUE`,`DEL_FLG`,`CRT_ID`,`CRT_TIME`,`UPD_ID`,`UPD_TIME`,`ACT_ID`,`ACT_TIME`,`VER`) VALUES ('417', 'BrandType', '品牌类型(卖家供应链)', '美侍客', '1', '0', 'admin', now(), 'admin', now(), 'admin', now(), 1);</v>
      </c>
    </row>
    <row r="422" spans="2:11">
      <c r="B422" s="44">
        <f t="shared" si="2"/>
        <v>418</v>
      </c>
      <c r="C422" s="44" t="s">
        <v>1044</v>
      </c>
      <c r="D422" s="44" t="s">
        <v>1045</v>
      </c>
      <c r="E422" s="62" t="s">
        <v>1049</v>
      </c>
      <c r="F422" s="67">
        <v>2</v>
      </c>
      <c r="G422" s="44">
        <v>0</v>
      </c>
      <c r="H422" s="44" t="s">
        <v>1047</v>
      </c>
      <c r="I422" s="44" t="s">
        <v>603</v>
      </c>
      <c r="K422" s="19" t="str">
        <f t="shared" si="13"/>
        <v>INSERT INTO `comm_constant` (`ID`,`CONSTANT_TYPE`,`CONSTANT_TYPE_NAME`,`CONSTANT_NAME`,`CONSTANT_VALUE`,`DEL_FLG`,`CRT_ID`,`CRT_TIME`,`UPD_ID`,`UPD_TIME`,`ACT_ID`,`ACT_TIME`,`VER`) VALUES ('418', 'BrandType', '品牌类型(卖家供应链)', '神农客', '2', '0', 'admin', now(), 'admin', now(), 'admin', now(), 1);</v>
      </c>
    </row>
    <row r="423" spans="2:11">
      <c r="B423" s="44">
        <f t="shared" si="2"/>
        <v>419</v>
      </c>
      <c r="C423" s="44" t="s">
        <v>1044</v>
      </c>
      <c r="D423" s="44" t="s">
        <v>1045</v>
      </c>
      <c r="E423" s="44" t="s">
        <v>1050</v>
      </c>
      <c r="F423" s="67">
        <v>3</v>
      </c>
      <c r="G423" s="44">
        <v>0</v>
      </c>
      <c r="H423" s="44" t="s">
        <v>1047</v>
      </c>
      <c r="I423" s="44" t="s">
        <v>1048</v>
      </c>
      <c r="K423" s="19" t="str">
        <f t="shared" si="13"/>
        <v>INSERT INTO `comm_constant` (`ID`,`CONSTANT_TYPE`,`CONSTANT_TYPE_NAME`,`CONSTANT_NAME`,`CONSTANT_VALUE`,`DEL_FLG`,`CRT_ID`,`CRT_TIME`,`UPD_ID`,`UPD_TIME`,`ACT_ID`,`ACT_TIME`,`VER`) VALUES ('419', 'BrandType', '品牌类型(卖家供应链)', '绿美通', '3', '0', 'admin', now(), 'admin', now(), 'admin', now(), 1);</v>
      </c>
    </row>
    <row r="424" spans="2:11">
      <c r="B424" s="44">
        <f t="shared" ref="B424:B466" si="15">ROW()-4</f>
        <v>420</v>
      </c>
      <c r="C424" s="44" t="s">
        <v>713</v>
      </c>
      <c r="D424" s="44" t="s">
        <v>714</v>
      </c>
      <c r="E424" s="44" t="s">
        <v>715</v>
      </c>
      <c r="F424" s="67">
        <v>0</v>
      </c>
      <c r="G424" s="44">
        <v>0</v>
      </c>
      <c r="H424" s="44" t="s">
        <v>716</v>
      </c>
      <c r="I424" s="44"/>
      <c r="K424" s="19" t="str">
        <f t="shared" si="13"/>
        <v>INSERT INTO `comm_constant` (`ID`,`CONSTANT_TYPE`,`CONSTANT_TYPE_NAME`,`CONSTANT_NAME`,`CONSTANT_VALUE`,`DEL_FLG`,`CRT_ID`,`CRT_TIME`,`UPD_ID`,`UPD_TIME`,`ACT_ID`,`ACT_TIME`,`VER`) VALUES ('420', 'BidStatus', '中标确认书状态', '待确认', '0', '0', 'admin', now(), 'admin', now(), 'admin', now(), 1);</v>
      </c>
    </row>
    <row r="425" spans="2:11">
      <c r="B425" s="44">
        <f t="shared" si="15"/>
        <v>421</v>
      </c>
      <c r="C425" s="44" t="s">
        <v>713</v>
      </c>
      <c r="D425" s="44" t="s">
        <v>714</v>
      </c>
      <c r="E425" s="44" t="s">
        <v>717</v>
      </c>
      <c r="F425" s="67">
        <v>1</v>
      </c>
      <c r="G425" s="44">
        <v>0</v>
      </c>
      <c r="H425" s="44" t="s">
        <v>716</v>
      </c>
      <c r="I425" s="44"/>
      <c r="K425" s="19" t="str">
        <f t="shared" si="13"/>
        <v>INSERT INTO `comm_constant` (`ID`,`CONSTANT_TYPE`,`CONSTANT_TYPE_NAME`,`CONSTANT_NAME`,`CONSTANT_VALUE`,`DEL_FLG`,`CRT_ID`,`CRT_TIME`,`UPD_ID`,`UPD_TIME`,`ACT_ID`,`ACT_TIME`,`VER`) VALUES ('421', 'BidStatus', '中标确认书状态', '采购商已确认', '1', '0', 'admin', now(), 'admin', now(), 'admin', now(), 1);</v>
      </c>
    </row>
    <row r="426" spans="2:11">
      <c r="B426" s="44">
        <f t="shared" si="15"/>
        <v>422</v>
      </c>
      <c r="C426" s="44" t="s">
        <v>713</v>
      </c>
      <c r="D426" s="44" t="s">
        <v>714</v>
      </c>
      <c r="E426" s="44" t="s">
        <v>718</v>
      </c>
      <c r="F426" s="67">
        <v>2</v>
      </c>
      <c r="G426" s="44">
        <v>0</v>
      </c>
      <c r="H426" s="44" t="s">
        <v>716</v>
      </c>
      <c r="I426" s="44"/>
      <c r="K426" s="19" t="str">
        <f t="shared" si="13"/>
        <v>INSERT INTO `comm_constant` (`ID`,`CONSTANT_TYPE`,`CONSTANT_TYPE_NAME`,`CONSTANT_NAME`,`CONSTANT_VALUE`,`DEL_FLG`,`CRT_ID`,`CRT_TIME`,`UPD_ID`,`UPD_TIME`,`ACT_ID`,`ACT_TIME`,`VER`) VALUES ('422', 'BidStatus', '中标确认书状态', '生产商已确认', '2', '0', 'admin', now(), 'admin', now(), 'admin', now(), 1);</v>
      </c>
    </row>
    <row r="427" spans="2:11">
      <c r="B427" s="44">
        <f t="shared" si="15"/>
        <v>423</v>
      </c>
      <c r="C427" s="44" t="s">
        <v>713</v>
      </c>
      <c r="D427" s="44" t="s">
        <v>714</v>
      </c>
      <c r="E427" s="44" t="s">
        <v>164</v>
      </c>
      <c r="F427" s="67">
        <v>3</v>
      </c>
      <c r="G427" s="44">
        <v>0</v>
      </c>
      <c r="H427" s="44" t="s">
        <v>716</v>
      </c>
      <c r="I427" s="44"/>
      <c r="K427" s="19" t="str">
        <f t="shared" si="13"/>
        <v>INSERT INTO `comm_constant` (`ID`,`CONSTANT_TYPE`,`CONSTANT_TYPE_NAME`,`CONSTANT_NAME`,`CONSTANT_VALUE`,`DEL_FLG`,`CRT_ID`,`CRT_TIME`,`UPD_ID`,`UPD_TIME`,`ACT_ID`,`ACT_TIME`,`VER`) VALUES ('423', 'BidStatus', '中标确认书状态', '已确认', '3', '0', 'admin', now(), 'admin', now(), 'admin', now(), 1);</v>
      </c>
    </row>
    <row r="428" spans="2:11">
      <c r="B428" s="44">
        <f t="shared" si="15"/>
        <v>424</v>
      </c>
      <c r="C428" s="44" t="s">
        <v>713</v>
      </c>
      <c r="D428" s="44" t="s">
        <v>714</v>
      </c>
      <c r="E428" s="44" t="s">
        <v>719</v>
      </c>
      <c r="F428" s="67">
        <v>4</v>
      </c>
      <c r="G428" s="44">
        <v>0</v>
      </c>
      <c r="H428" s="44" t="s">
        <v>716</v>
      </c>
      <c r="I428" s="44"/>
      <c r="K428" s="19" t="str">
        <f t="shared" si="13"/>
        <v>INSERT INTO `comm_constant` (`ID`,`CONSTANT_TYPE`,`CONSTANT_TYPE_NAME`,`CONSTANT_NAME`,`CONSTANT_VALUE`,`DEL_FLG`,`CRT_ID`,`CRT_TIME`,`UPD_ID`,`UPD_TIME`,`ACT_ID`,`ACT_TIME`,`VER`) VALUES ('424', 'BidStatus', '中标确认书状态', '执行中', '4', '0', 'admin', now(), 'admin', now(), 'admin', now(), 1);</v>
      </c>
    </row>
    <row r="429" spans="2:11">
      <c r="B429" s="44">
        <f t="shared" si="15"/>
        <v>425</v>
      </c>
      <c r="C429" s="44" t="s">
        <v>713</v>
      </c>
      <c r="D429" s="44" t="s">
        <v>714</v>
      </c>
      <c r="E429" s="44" t="s">
        <v>720</v>
      </c>
      <c r="F429" s="67">
        <v>5</v>
      </c>
      <c r="G429" s="44">
        <v>0</v>
      </c>
      <c r="H429" s="44" t="s">
        <v>716</v>
      </c>
      <c r="I429" s="44"/>
      <c r="K429" s="19" t="str">
        <f t="shared" si="13"/>
        <v>INSERT INTO `comm_constant` (`ID`,`CONSTANT_TYPE`,`CONSTANT_TYPE_NAME`,`CONSTANT_NAME`,`CONSTANT_VALUE`,`DEL_FLG`,`CRT_ID`,`CRT_TIME`,`UPD_ID`,`UPD_TIME`,`ACT_ID`,`ACT_TIME`,`VER`) VALUES ('425', 'BidStatus', '中标确认书状态', '已结束', '5', '0', 'admin', now(), 'admin', now(), 'admin', now(), 1);</v>
      </c>
    </row>
    <row r="430" spans="2:11">
      <c r="B430" s="44">
        <f t="shared" si="15"/>
        <v>426</v>
      </c>
      <c r="C430" s="44" t="s">
        <v>713</v>
      </c>
      <c r="D430" s="44" t="s">
        <v>714</v>
      </c>
      <c r="E430" s="44" t="s">
        <v>1051</v>
      </c>
      <c r="F430" s="67">
        <v>9</v>
      </c>
      <c r="G430" s="44">
        <v>0</v>
      </c>
      <c r="H430" s="44" t="s">
        <v>716</v>
      </c>
      <c r="I430" s="44"/>
      <c r="K430" s="19" t="str">
        <f t="shared" si="13"/>
        <v>INSERT INTO `comm_constant` (`ID`,`CONSTANT_TYPE`,`CONSTANT_TYPE_NAME`,`CONSTANT_NAME`,`CONSTANT_VALUE`,`DEL_FLG`,`CRT_ID`,`CRT_TIME`,`UPD_ID`,`UPD_TIME`,`ACT_ID`,`ACT_TIME`,`VER`) VALUES ('426', 'BidStatus', '中标确认书状态', '已删除', '9', '0', 'admin', now(), 'admin', now(), 'admin', now(), 1);</v>
      </c>
    </row>
    <row r="431" spans="2:11">
      <c r="B431" s="44">
        <f t="shared" si="15"/>
        <v>427</v>
      </c>
      <c r="C431" s="44" t="s">
        <v>722</v>
      </c>
      <c r="D431" s="44" t="s">
        <v>723</v>
      </c>
      <c r="E431" s="44" t="s">
        <v>157</v>
      </c>
      <c r="F431" s="67">
        <v>0</v>
      </c>
      <c r="G431" s="44">
        <v>0</v>
      </c>
      <c r="H431" s="44" t="s">
        <v>716</v>
      </c>
      <c r="I431" s="44"/>
      <c r="K431" s="19" t="str">
        <f t="shared" si="13"/>
        <v>INSERT INTO `comm_constant` (`ID`,`CONSTANT_TYPE`,`CONSTANT_TYPE_NAME`,`CONSTANT_NAME`,`CONSTANT_VALUE`,`DEL_FLG`,`CRT_ID`,`CRT_TIME`,`UPD_ID`,`UPD_TIME`,`ACT_ID`,`ACT_TIME`,`VER`) VALUES ('427', 'SscOrderStatus', '订单合同状态', '新建', '0', '0', 'admin', now(), 'admin', now(), 'admin', now(), 1);</v>
      </c>
    </row>
    <row r="432" spans="2:11">
      <c r="B432" s="44">
        <f t="shared" si="15"/>
        <v>428</v>
      </c>
      <c r="C432" s="44" t="s">
        <v>722</v>
      </c>
      <c r="D432" s="44" t="s">
        <v>723</v>
      </c>
      <c r="E432" s="44" t="s">
        <v>160</v>
      </c>
      <c r="F432" s="67">
        <v>1</v>
      </c>
      <c r="G432" s="44">
        <v>0</v>
      </c>
      <c r="H432" s="44" t="s">
        <v>716</v>
      </c>
      <c r="I432" s="44"/>
      <c r="K432" s="19" t="str">
        <f t="shared" si="13"/>
        <v>INSERT INTO `comm_constant` (`ID`,`CONSTANT_TYPE`,`CONSTANT_TYPE_NAME`,`CONSTANT_NAME`,`CONSTANT_VALUE`,`DEL_FLG`,`CRT_ID`,`CRT_TIME`,`UPD_ID`,`UPD_TIME`,`ACT_ID`,`ACT_TIME`,`VER`) VALUES ('428', 'SscOrderStatus', '订单合同状态', '待审核', '1', '0', 'admin', now(), 'admin', now(), 'admin', now(), 1);</v>
      </c>
    </row>
    <row r="433" spans="2:11">
      <c r="B433" s="44">
        <f t="shared" si="15"/>
        <v>429</v>
      </c>
      <c r="C433" s="44" t="s">
        <v>722</v>
      </c>
      <c r="D433" s="44" t="s">
        <v>723</v>
      </c>
      <c r="E433" s="44" t="s">
        <v>724</v>
      </c>
      <c r="F433" s="67">
        <v>2</v>
      </c>
      <c r="G433" s="44">
        <v>0</v>
      </c>
      <c r="H433" s="44" t="s">
        <v>716</v>
      </c>
      <c r="I433" s="44"/>
      <c r="K433" s="19" t="str">
        <f t="shared" si="13"/>
        <v>INSERT INTO `comm_constant` (`ID`,`CONSTANT_TYPE`,`CONSTANT_TYPE_NAME`,`CONSTANT_NAME`,`CONSTANT_VALUE`,`DEL_FLG`,`CRT_ID`,`CRT_TIME`,`UPD_ID`,`UPD_TIME`,`ACT_ID`,`ACT_TIME`,`VER`) VALUES ('429', 'SscOrderStatus', '订单合同状态', '采购商已审核', '2', '0', 'admin', now(), 'admin', now(), 'admin', now(), 1);</v>
      </c>
    </row>
    <row r="434" spans="2:11">
      <c r="B434" s="44">
        <f t="shared" si="15"/>
        <v>430</v>
      </c>
      <c r="C434" s="44" t="s">
        <v>722</v>
      </c>
      <c r="D434" s="44" t="s">
        <v>723</v>
      </c>
      <c r="E434" s="44" t="s">
        <v>725</v>
      </c>
      <c r="F434" s="67">
        <v>3</v>
      </c>
      <c r="G434" s="44">
        <v>0</v>
      </c>
      <c r="H434" s="44" t="s">
        <v>716</v>
      </c>
      <c r="I434" s="44"/>
      <c r="K434" s="19" t="str">
        <f t="shared" si="13"/>
        <v>INSERT INTO `comm_constant` (`ID`,`CONSTANT_TYPE`,`CONSTANT_TYPE_NAME`,`CONSTANT_NAME`,`CONSTANT_VALUE`,`DEL_FLG`,`CRT_ID`,`CRT_TIME`,`UPD_ID`,`UPD_TIME`,`ACT_ID`,`ACT_TIME`,`VER`) VALUES ('430', 'SscOrderStatus', '订单合同状态', '生产商已审核', '3', '0', 'admin', now(), 'admin', now(), 'admin', now(), 1);</v>
      </c>
    </row>
    <row r="435" spans="2:11">
      <c r="B435" s="44">
        <f t="shared" si="15"/>
        <v>431</v>
      </c>
      <c r="C435" s="44" t="s">
        <v>722</v>
      </c>
      <c r="D435" s="44" t="s">
        <v>723</v>
      </c>
      <c r="E435" s="44" t="s">
        <v>726</v>
      </c>
      <c r="F435" s="67">
        <v>4</v>
      </c>
      <c r="G435" s="44">
        <v>0</v>
      </c>
      <c r="H435" s="44" t="s">
        <v>716</v>
      </c>
      <c r="I435" s="44"/>
      <c r="K435" s="19" t="str">
        <f t="shared" si="13"/>
        <v>INSERT INTO `comm_constant` (`ID`,`CONSTANT_TYPE`,`CONSTANT_TYPE_NAME`,`CONSTANT_NAME`,`CONSTANT_VALUE`,`DEL_FLG`,`CRT_ID`,`CRT_TIME`,`UPD_ID`,`UPD_TIME`,`ACT_ID`,`ACT_TIME`,`VER`) VALUES ('431', 'SscOrderStatus', '订单合同状态', '已生效', '4', '0', 'admin', now(), 'admin', now(), 'admin', now(), 1);</v>
      </c>
    </row>
    <row r="436" spans="2:11">
      <c r="B436" s="44">
        <f t="shared" si="15"/>
        <v>432</v>
      </c>
      <c r="C436" s="44" t="s">
        <v>722</v>
      </c>
      <c r="D436" s="44" t="s">
        <v>723</v>
      </c>
      <c r="E436" s="44" t="s">
        <v>727</v>
      </c>
      <c r="F436" s="67">
        <v>5</v>
      </c>
      <c r="G436" s="44">
        <v>0</v>
      </c>
      <c r="H436" s="44" t="s">
        <v>716</v>
      </c>
      <c r="I436" s="44"/>
      <c r="K436" s="19" t="str">
        <f t="shared" si="13"/>
        <v>INSERT INTO `comm_constant` (`ID`,`CONSTANT_TYPE`,`CONSTANT_TYPE_NAME`,`CONSTANT_NAME`,`CONSTANT_VALUE`,`DEL_FLG`,`CRT_ID`,`CRT_TIME`,`UPD_ID`,`UPD_TIME`,`ACT_ID`,`ACT_TIME`,`VER`) VALUES ('432', 'SscOrderStatus', '订单合同状态', '部分完成', '5', '0', 'admin', now(), 'admin', now(), 'admin', now(), 1);</v>
      </c>
    </row>
    <row r="437" spans="2:11">
      <c r="B437" s="44">
        <f t="shared" si="15"/>
        <v>433</v>
      </c>
      <c r="C437" s="44" t="s">
        <v>722</v>
      </c>
      <c r="D437" s="44" t="s">
        <v>723</v>
      </c>
      <c r="E437" s="44" t="s">
        <v>728</v>
      </c>
      <c r="F437" s="67">
        <v>6</v>
      </c>
      <c r="G437" s="44">
        <v>0</v>
      </c>
      <c r="H437" s="44" t="s">
        <v>716</v>
      </c>
      <c r="I437" s="44"/>
      <c r="K437" s="19" t="str">
        <f t="shared" si="13"/>
        <v>INSERT INTO `comm_constant` (`ID`,`CONSTANT_TYPE`,`CONSTANT_TYPE_NAME`,`CONSTANT_NAME`,`CONSTANT_VALUE`,`DEL_FLG`,`CRT_ID`,`CRT_TIME`,`UPD_ID`,`UPD_TIME`,`ACT_ID`,`ACT_TIME`,`VER`) VALUES ('433', 'SscOrderStatus', '订单合同状态', '全部完成', '6', '0', 'admin', now(), 'admin', now(), 'admin', now(), 1);</v>
      </c>
    </row>
    <row r="438" spans="2:11">
      <c r="B438" s="44">
        <f t="shared" si="15"/>
        <v>434</v>
      </c>
      <c r="C438" s="44" t="s">
        <v>722</v>
      </c>
      <c r="D438" s="44" t="s">
        <v>1052</v>
      </c>
      <c r="E438" s="44" t="s">
        <v>1053</v>
      </c>
      <c r="F438" s="67">
        <v>7</v>
      </c>
      <c r="G438" s="44">
        <v>0</v>
      </c>
      <c r="H438" s="44" t="s">
        <v>1054</v>
      </c>
      <c r="I438" s="44" t="s">
        <v>1055</v>
      </c>
      <c r="K438" s="19" t="str">
        <f t="shared" si="13"/>
        <v>INSERT INTO `comm_constant` (`ID`,`CONSTANT_TYPE`,`CONSTANT_TYPE_NAME`,`CONSTANT_NAME`,`CONSTANT_VALUE`,`DEL_FLG`,`CRT_ID`,`CRT_TIME`,`UPD_ID`,`UPD_TIME`,`ACT_ID`,`ACT_TIME`,`VER`) VALUES ('434', 'SscOrderStatus', '订单合同状态', '待核销', '7', '0', 'admin', now(), 'admin', now(), 'admin', now(), 1);</v>
      </c>
    </row>
    <row r="439" spans="2:11">
      <c r="B439" s="44">
        <f t="shared" si="15"/>
        <v>435</v>
      </c>
      <c r="C439" s="44" t="s">
        <v>722</v>
      </c>
      <c r="D439" s="44" t="s">
        <v>1052</v>
      </c>
      <c r="E439" s="44" t="s">
        <v>1056</v>
      </c>
      <c r="F439" s="67">
        <v>8</v>
      </c>
      <c r="G439" s="44">
        <v>0</v>
      </c>
      <c r="H439" s="44" t="s">
        <v>1054</v>
      </c>
      <c r="I439" s="44" t="s">
        <v>1057</v>
      </c>
      <c r="K439" s="19" t="str">
        <f t="shared" si="13"/>
        <v>INSERT INTO `comm_constant` (`ID`,`CONSTANT_TYPE`,`CONSTANT_TYPE_NAME`,`CONSTANT_NAME`,`CONSTANT_VALUE`,`DEL_FLG`,`CRT_ID`,`CRT_TIME`,`UPD_ID`,`UPD_TIME`,`ACT_ID`,`ACT_TIME`,`VER`) VALUES ('435', 'SscOrderStatus', '订单合同状态', '已结案', '8', '0', 'admin', now(), 'admin', now(), 'admin', now(), 1);</v>
      </c>
    </row>
    <row r="440" spans="2:11">
      <c r="B440" s="44">
        <f t="shared" si="15"/>
        <v>436</v>
      </c>
      <c r="C440" s="44" t="s">
        <v>722</v>
      </c>
      <c r="D440" s="44" t="s">
        <v>1052</v>
      </c>
      <c r="E440" s="44" t="s">
        <v>729</v>
      </c>
      <c r="F440" s="67">
        <v>9</v>
      </c>
      <c r="G440" s="44">
        <v>0</v>
      </c>
      <c r="H440" s="44" t="s">
        <v>1054</v>
      </c>
      <c r="I440" s="44"/>
      <c r="K440" s="19" t="str">
        <f t="shared" si="13"/>
        <v>INSERT INTO `comm_constant` (`ID`,`CONSTANT_TYPE`,`CONSTANT_TYPE_NAME`,`CONSTANT_NAME`,`CONSTANT_VALUE`,`DEL_FLG`,`CRT_ID`,`CRT_TIME`,`UPD_ID`,`UPD_TIME`,`ACT_ID`,`ACT_TIME`,`VER`) VALUES ('436', 'SscOrderStatus', '订单合同状态', '废弃', '9', '0', 'admin', now(), 'admin', now(), 'admin', now(), 1);</v>
      </c>
    </row>
    <row r="441" spans="2:11">
      <c r="B441" s="44">
        <f t="shared" si="15"/>
        <v>437</v>
      </c>
      <c r="C441" s="44" t="s">
        <v>730</v>
      </c>
      <c r="D441" s="44" t="s">
        <v>731</v>
      </c>
      <c r="E441" s="44" t="s">
        <v>732</v>
      </c>
      <c r="F441" s="67">
        <v>0</v>
      </c>
      <c r="G441" s="44">
        <v>0</v>
      </c>
      <c r="H441" s="44" t="s">
        <v>716</v>
      </c>
      <c r="I441" s="44"/>
      <c r="K441" s="19" t="str">
        <f t="shared" si="13"/>
        <v>INSERT INTO `comm_constant` (`ID`,`CONSTANT_TYPE`,`CONSTANT_TYPE_NAME`,`CONSTANT_NAME`,`CONSTANT_VALUE`,`DEL_FLG`,`CRT_ID`,`CRT_TIME`,`UPD_ID`,`UPD_TIME`,`ACT_ID`,`ACT_TIME`,`VER`) VALUES ('437', 'PacSupplyMode', '包材提供方式', '甲供', '0', '0', 'admin', now(), 'admin', now(), 'admin', now(), 1);</v>
      </c>
    </row>
    <row r="442" spans="2:11">
      <c r="B442" s="44">
        <f t="shared" si="15"/>
        <v>438</v>
      </c>
      <c r="C442" s="44" t="s">
        <v>730</v>
      </c>
      <c r="D442" s="44" t="s">
        <v>731</v>
      </c>
      <c r="E442" s="44" t="s">
        <v>733</v>
      </c>
      <c r="F442" s="67">
        <v>1</v>
      </c>
      <c r="G442" s="44">
        <v>0</v>
      </c>
      <c r="H442" s="44" t="s">
        <v>716</v>
      </c>
      <c r="I442" s="44"/>
      <c r="K442" s="19" t="str">
        <f t="shared" si="13"/>
        <v>INSERT INTO `comm_constant` (`ID`,`CONSTANT_TYPE`,`CONSTANT_TYPE_NAME`,`CONSTANT_NAME`,`CONSTANT_VALUE`,`DEL_FLG`,`CRT_ID`,`CRT_TIME`,`UPD_ID`,`UPD_TIME`,`ACT_ID`,`ACT_TIME`,`VER`) VALUES ('438', 'PacSupplyMode', '包材提供方式', '乙供', '1', '0', 'admin', now(), 'admin', now(), 'admin', now(), 1);</v>
      </c>
    </row>
    <row r="443" spans="2:11">
      <c r="B443" s="44">
        <f t="shared" si="15"/>
        <v>439</v>
      </c>
      <c r="C443" s="44" t="s">
        <v>734</v>
      </c>
      <c r="D443" s="44" t="s">
        <v>735</v>
      </c>
      <c r="E443" s="44" t="s">
        <v>736</v>
      </c>
      <c r="F443" s="67">
        <v>0</v>
      </c>
      <c r="G443" s="44">
        <v>0</v>
      </c>
      <c r="H443" s="44" t="s">
        <v>716</v>
      </c>
      <c r="I443" s="44"/>
      <c r="K443" s="19" t="str">
        <f t="shared" si="13"/>
        <v>INSERT INTO `comm_constant` (`ID`,`CONSTANT_TYPE`,`CONSTANT_TYPE_NAME`,`CONSTANT_NAME`,`CONSTANT_VALUE`,`DEL_FLG`,`CRT_ID`,`CRT_TIME`,`UPD_ID`,`UPD_TIME`,`ACT_ID`,`ACT_TIME`,`VER`) VALUES ('439', 'PacAuditMode', '包材审核方式', '寄送样品审核', '0', '0', 'admin', now(), 'admin', now(), 'admin', now(), 1);</v>
      </c>
    </row>
    <row r="444" spans="2:11">
      <c r="B444" s="44">
        <f t="shared" si="15"/>
        <v>440</v>
      </c>
      <c r="C444" s="44" t="s">
        <v>734</v>
      </c>
      <c r="D444" s="44" t="s">
        <v>735</v>
      </c>
      <c r="E444" s="44" t="s">
        <v>737</v>
      </c>
      <c r="F444" s="67">
        <v>1</v>
      </c>
      <c r="G444" s="44">
        <v>0</v>
      </c>
      <c r="H444" s="44" t="s">
        <v>716</v>
      </c>
      <c r="I444" s="44"/>
      <c r="K444" s="19" t="str">
        <f t="shared" si="13"/>
        <v>INSERT INTO `comm_constant` (`ID`,`CONSTANT_TYPE`,`CONSTANT_TYPE_NAME`,`CONSTANT_NAME`,`CONSTANT_VALUE`,`DEL_FLG`,`CRT_ID`,`CRT_TIME`,`UPD_ID`,`UPD_TIME`,`ACT_ID`,`ACT_TIME`,`VER`) VALUES ('440', 'PacAuditMode', '包材审核方式', '到货审核', '1', '0', 'admin', now(), 'admin', now(), 'admin', now(), 1);</v>
      </c>
    </row>
    <row r="445" spans="2:11">
      <c r="B445" s="44">
        <f t="shared" si="15"/>
        <v>441</v>
      </c>
      <c r="C445" s="44" t="s">
        <v>738</v>
      </c>
      <c r="D445" s="44" t="s">
        <v>739</v>
      </c>
      <c r="E445" s="44" t="s">
        <v>740</v>
      </c>
      <c r="F445" s="67">
        <v>0</v>
      </c>
      <c r="G445" s="44">
        <v>0</v>
      </c>
      <c r="H445" s="44" t="s">
        <v>716</v>
      </c>
      <c r="I445" s="44"/>
      <c r="K445" s="19" t="str">
        <f t="shared" si="13"/>
        <v>INSERT INTO `comm_constant` (`ID`,`CONSTANT_TYPE`,`CONSTANT_TYPE_NAME`,`CONSTANT_NAME`,`CONSTANT_VALUE`,`DEL_FLG`,`CRT_ID`,`CRT_TIME`,`UPD_ID`,`UPD_TIME`,`ACT_ID`,`ACT_TIME`,`VER`) VALUES ('441', 'PacPaymentMode', '包材结算方式', '产品价内', '0', '0', 'admin', now(), 'admin', now(), 'admin', now(), 1);</v>
      </c>
    </row>
    <row r="446" spans="2:11">
      <c r="B446" s="44">
        <f t="shared" si="15"/>
        <v>442</v>
      </c>
      <c r="C446" s="44" t="s">
        <v>738</v>
      </c>
      <c r="D446" s="44" t="s">
        <v>739</v>
      </c>
      <c r="E446" s="44" t="s">
        <v>741</v>
      </c>
      <c r="F446" s="67">
        <v>1</v>
      </c>
      <c r="G446" s="44">
        <v>0</v>
      </c>
      <c r="H446" s="44" t="s">
        <v>716</v>
      </c>
      <c r="I446" s="44"/>
      <c r="K446" s="19" t="str">
        <f t="shared" si="13"/>
        <v>INSERT INTO `comm_constant` (`ID`,`CONSTANT_TYPE`,`CONSTANT_TYPE_NAME`,`CONSTANT_NAME`,`CONSTANT_VALUE`,`DEL_FLG`,`CRT_ID`,`CRT_TIME`,`UPD_ID`,`UPD_TIME`,`ACT_ID`,`ACT_TIME`,`VER`) VALUES ('442', 'PacPaymentMode', '包材结算方式', '产品价外', '1', '0', 'admin', now(), 'admin', now(), 'admin', now(), 1);</v>
      </c>
    </row>
    <row r="447" spans="2:11">
      <c r="B447" s="44">
        <f t="shared" si="15"/>
        <v>443</v>
      </c>
      <c r="C447" s="44" t="s">
        <v>742</v>
      </c>
      <c r="D447" s="44" t="s">
        <v>743</v>
      </c>
      <c r="E447" s="44" t="s">
        <v>157</v>
      </c>
      <c r="F447" s="67">
        <v>0</v>
      </c>
      <c r="G447" s="44">
        <v>0</v>
      </c>
      <c r="H447" s="44" t="s">
        <v>716</v>
      </c>
      <c r="I447" s="44"/>
      <c r="K447" s="19" t="str">
        <f t="shared" si="13"/>
        <v>INSERT INTO `comm_constant` (`ID`,`CONSTANT_TYPE`,`CONSTANT_TYPE_NAME`,`CONSTANT_NAME`,`CONSTANT_VALUE`,`DEL_FLG`,`CRT_ID`,`CRT_TIME`,`UPD_ID`,`UPD_TIME`,`ACT_ID`,`ACT_TIME`,`VER`) VALUES ('443', 'DeliveryOrderStatus', '发货订单状态', '新建', '0', '0', 'admin', now(), 'admin', now(), 'admin', now(), 1);</v>
      </c>
    </row>
    <row r="448" spans="2:11">
      <c r="B448" s="44">
        <f t="shared" si="15"/>
        <v>444</v>
      </c>
      <c r="C448" s="44" t="s">
        <v>742</v>
      </c>
      <c r="D448" s="44" t="s">
        <v>743</v>
      </c>
      <c r="E448" s="44" t="s">
        <v>715</v>
      </c>
      <c r="F448" s="67">
        <v>1</v>
      </c>
      <c r="G448" s="44">
        <v>0</v>
      </c>
      <c r="H448" s="44" t="s">
        <v>716</v>
      </c>
      <c r="I448" s="44"/>
      <c r="K448" s="19" t="str">
        <f t="shared" si="13"/>
        <v>INSERT INTO `comm_constant` (`ID`,`CONSTANT_TYPE`,`CONSTANT_TYPE_NAME`,`CONSTANT_NAME`,`CONSTANT_VALUE`,`DEL_FLG`,`CRT_ID`,`CRT_TIME`,`UPD_ID`,`UPD_TIME`,`ACT_ID`,`ACT_TIME`,`VER`) VALUES ('444', 'DeliveryOrderStatus', '发货订单状态', '待确认', '1', '0', 'admin', now(), 'admin', now(), 'admin', now(), 1);</v>
      </c>
    </row>
    <row r="449" spans="2:11">
      <c r="B449" s="44">
        <f t="shared" si="15"/>
        <v>445</v>
      </c>
      <c r="C449" s="44" t="s">
        <v>742</v>
      </c>
      <c r="D449" s="44" t="s">
        <v>743</v>
      </c>
      <c r="E449" s="44" t="s">
        <v>744</v>
      </c>
      <c r="F449" s="67">
        <v>2</v>
      </c>
      <c r="G449" s="44">
        <v>0</v>
      </c>
      <c r="H449" s="44" t="s">
        <v>716</v>
      </c>
      <c r="I449" s="44"/>
      <c r="K449" s="19" t="str">
        <f t="shared" si="13"/>
        <v>INSERT INTO `comm_constant` (`ID`,`CONSTANT_TYPE`,`CONSTANT_TYPE_NAME`,`CONSTANT_NAME`,`CONSTANT_VALUE`,`DEL_FLG`,`CRT_ID`,`CRT_TIME`,`UPD_ID`,`UPD_TIME`,`ACT_ID`,`ACT_TIME`,`VER`) VALUES ('445', 'DeliveryOrderStatus', '发货订单状态', '甲方已审批', '2', '0', 'admin', now(), 'admin', now(), 'admin', now(), 1);</v>
      </c>
    </row>
    <row r="450" spans="2:11">
      <c r="B450" s="44">
        <f t="shared" si="15"/>
        <v>446</v>
      </c>
      <c r="C450" s="44" t="s">
        <v>742</v>
      </c>
      <c r="D450" s="44" t="s">
        <v>743</v>
      </c>
      <c r="E450" s="44" t="s">
        <v>1058</v>
      </c>
      <c r="F450" s="67">
        <v>3</v>
      </c>
      <c r="G450" s="44">
        <v>0</v>
      </c>
      <c r="H450" s="44" t="s">
        <v>716</v>
      </c>
      <c r="I450" s="44"/>
      <c r="K450" s="19" t="str">
        <f t="shared" si="13"/>
        <v>INSERT INTO `comm_constant` (`ID`,`CONSTANT_TYPE`,`CONSTANT_TYPE_NAME`,`CONSTANT_NAME`,`CONSTANT_VALUE`,`DEL_FLG`,`CRT_ID`,`CRT_TIME`,`UPD_ID`,`UPD_TIME`,`ACT_ID`,`ACT_TIME`,`VER`) VALUES ('446', 'DeliveryOrderStatus', '发货订单状态', '乙方已确认', '3', '0', 'admin', now(), 'admin', now(), 'admin', now(), 1);</v>
      </c>
    </row>
    <row r="451" spans="2:11">
      <c r="B451" s="44">
        <f t="shared" si="15"/>
        <v>447</v>
      </c>
      <c r="C451" s="44" t="s">
        <v>742</v>
      </c>
      <c r="D451" s="44" t="s">
        <v>743</v>
      </c>
      <c r="E451" s="44" t="s">
        <v>745</v>
      </c>
      <c r="F451" s="67">
        <v>4</v>
      </c>
      <c r="G451" s="44">
        <v>0</v>
      </c>
      <c r="H451" s="44" t="s">
        <v>716</v>
      </c>
      <c r="I451" s="44"/>
      <c r="K451" s="19" t="str">
        <f t="shared" si="13"/>
        <v>INSERT INTO `comm_constant` (`ID`,`CONSTANT_TYPE`,`CONSTANT_TYPE_NAME`,`CONSTANT_NAME`,`CONSTANT_VALUE`,`DEL_FLG`,`CRT_ID`,`CRT_TIME`,`UPD_ID`,`UPD_TIME`,`ACT_ID`,`ACT_TIME`,`VER`) VALUES ('447', 'DeliveryOrderStatus', '发货订单状态', '双方已确认', '4', '0', 'admin', now(), 'admin', now(), 'admin', now(), 1);</v>
      </c>
    </row>
    <row r="452" spans="2:11">
      <c r="B452" s="44">
        <f t="shared" si="15"/>
        <v>448</v>
      </c>
      <c r="C452" s="44" t="s">
        <v>742</v>
      </c>
      <c r="D452" s="44" t="s">
        <v>743</v>
      </c>
      <c r="E452" s="44" t="s">
        <v>1059</v>
      </c>
      <c r="F452" s="67">
        <v>9</v>
      </c>
      <c r="G452" s="44">
        <v>0</v>
      </c>
      <c r="H452" s="44" t="s">
        <v>716</v>
      </c>
      <c r="I452" s="44"/>
      <c r="K452" s="19" t="str">
        <f t="shared" si="13"/>
        <v>INSERT INTO `comm_constant` (`ID`,`CONSTANT_TYPE`,`CONSTANT_TYPE_NAME`,`CONSTANT_NAME`,`CONSTANT_VALUE`,`DEL_FLG`,`CRT_ID`,`CRT_TIME`,`UPD_ID`,`UPD_TIME`,`ACT_ID`,`ACT_TIME`,`VER`) VALUES ('448', 'DeliveryOrderStatus', '发货订单状态', '已删除', '9', '0', 'admin', now(), 'admin', now(), 'admin', now(), 1);</v>
      </c>
    </row>
    <row r="453" spans="2:11">
      <c r="B453" s="44">
        <f t="shared" si="15"/>
        <v>449</v>
      </c>
      <c r="C453" s="44" t="s">
        <v>746</v>
      </c>
      <c r="D453" s="44" t="s">
        <v>747</v>
      </c>
      <c r="E453" s="44" t="s">
        <v>157</v>
      </c>
      <c r="F453" s="67">
        <v>0</v>
      </c>
      <c r="G453" s="44">
        <v>0</v>
      </c>
      <c r="H453" s="44" t="s">
        <v>716</v>
      </c>
      <c r="I453" s="44"/>
      <c r="K453" s="19" t="str">
        <f t="shared" si="13"/>
        <v>INSERT INTO `comm_constant` (`ID`,`CONSTANT_TYPE`,`CONSTANT_TYPE_NAME`,`CONSTANT_NAME`,`CONSTANT_VALUE`,`DEL_FLG`,`CRT_ID`,`CRT_TIME`,`UPD_ID`,`UPD_TIME`,`ACT_ID`,`ACT_TIME`,`VER`) VALUES ('449', 'DeliveryConfirmStatus', '发货确认单状态', '新建', '0', '0', 'admin', now(), 'admin', now(), 'admin', now(), 1);</v>
      </c>
    </row>
    <row r="454" spans="2:11">
      <c r="B454" s="44">
        <f t="shared" si="15"/>
        <v>450</v>
      </c>
      <c r="C454" s="44" t="s">
        <v>746</v>
      </c>
      <c r="D454" s="44" t="s">
        <v>747</v>
      </c>
      <c r="E454" s="44" t="s">
        <v>1060</v>
      </c>
      <c r="F454" s="67">
        <v>1</v>
      </c>
      <c r="G454" s="44">
        <v>0</v>
      </c>
      <c r="H454" s="44" t="s">
        <v>716</v>
      </c>
      <c r="I454" s="44"/>
      <c r="K454" s="19" t="str">
        <f t="shared" si="13"/>
        <v>INSERT INTO `comm_constant` (`ID`,`CONSTANT_TYPE`,`CONSTANT_TYPE_NAME`,`CONSTANT_NAME`,`CONSTANT_VALUE`,`DEL_FLG`,`CRT_ID`,`CRT_TIME`,`UPD_ID`,`UPD_TIME`,`ACT_ID`,`ACT_TIME`,`VER`) VALUES ('450', 'DeliveryConfirmStatus', '发货确认单状态', '待确认', '1', '0', 'admin', now(), 'admin', now(), 'admin', now(), 1);</v>
      </c>
    </row>
    <row r="455" spans="2:11">
      <c r="B455" s="44">
        <f t="shared" si="15"/>
        <v>451</v>
      </c>
      <c r="C455" s="44" t="s">
        <v>746</v>
      </c>
      <c r="D455" s="44" t="s">
        <v>747</v>
      </c>
      <c r="E455" s="44" t="s">
        <v>748</v>
      </c>
      <c r="F455" s="67">
        <v>2</v>
      </c>
      <c r="G455" s="62">
        <v>1</v>
      </c>
      <c r="H455" s="44" t="s">
        <v>716</v>
      </c>
      <c r="I455" s="44"/>
      <c r="K455" s="19" t="str">
        <f t="shared" si="13"/>
        <v>INSERT INTO `comm_constant` (`ID`,`CONSTANT_TYPE`,`CONSTANT_TYPE_NAME`,`CONSTANT_NAME`,`CONSTANT_VALUE`,`DEL_FLG`,`CRT_ID`,`CRT_TIME`,`UPD_ID`,`UPD_TIME`,`ACT_ID`,`ACT_TIME`,`VER`) VALUES ('451', 'DeliveryConfirmStatus', '发货确认单状态', '待仓库确认', '2', '1', 'admin', now(), 'admin', now(), 'admin', now(), 1);</v>
      </c>
    </row>
    <row r="456" spans="2:11">
      <c r="B456" s="44">
        <f t="shared" si="15"/>
        <v>452</v>
      </c>
      <c r="C456" s="44" t="s">
        <v>746</v>
      </c>
      <c r="D456" s="44" t="s">
        <v>747</v>
      </c>
      <c r="E456" s="44" t="s">
        <v>749</v>
      </c>
      <c r="F456" s="67">
        <v>3</v>
      </c>
      <c r="G456" s="62">
        <v>1</v>
      </c>
      <c r="H456" s="44" t="s">
        <v>716</v>
      </c>
      <c r="I456" s="44"/>
      <c r="K456" s="19" t="str">
        <f t="shared" si="13"/>
        <v>INSERT INTO `comm_constant` (`ID`,`CONSTANT_TYPE`,`CONSTANT_TYPE_NAME`,`CONSTANT_NAME`,`CONSTANT_VALUE`,`DEL_FLG`,`CRT_ID`,`CRT_TIME`,`UPD_ID`,`UPD_TIME`,`ACT_ID`,`ACT_TIME`,`VER`) VALUES ('452', 'DeliveryConfirmStatus', '发货确认单状态', '待生产商确认', '3', '1', 'admin', now(), 'admin', now(), 'admin', now(), 1);</v>
      </c>
    </row>
    <row r="457" spans="2:11">
      <c r="B457" s="44">
        <f t="shared" si="15"/>
        <v>453</v>
      </c>
      <c r="C457" s="44" t="s">
        <v>746</v>
      </c>
      <c r="D457" s="44" t="s">
        <v>747</v>
      </c>
      <c r="E457" s="44" t="s">
        <v>164</v>
      </c>
      <c r="F457" s="67">
        <v>4</v>
      </c>
      <c r="G457" s="44">
        <v>0</v>
      </c>
      <c r="H457" s="44" t="s">
        <v>716</v>
      </c>
      <c r="I457" s="44"/>
      <c r="K457" s="19" t="str">
        <f t="shared" si="13"/>
        <v>INSERT INTO `comm_constant` (`ID`,`CONSTANT_TYPE`,`CONSTANT_TYPE_NAME`,`CONSTANT_NAME`,`CONSTANT_VALUE`,`DEL_FLG`,`CRT_ID`,`CRT_TIME`,`UPD_ID`,`UPD_TIME`,`ACT_ID`,`ACT_TIME`,`VER`) VALUES ('453', 'DeliveryConfirmStatus', '发货确认单状态', '已确认', '4', '0', 'admin', now(), 'admin', now(), 'admin', now(), 1);</v>
      </c>
    </row>
    <row r="458" spans="2:11">
      <c r="B458" s="44">
        <f t="shared" si="15"/>
        <v>454</v>
      </c>
      <c r="C458" s="44" t="s">
        <v>746</v>
      </c>
      <c r="D458" s="44" t="s">
        <v>747</v>
      </c>
      <c r="E458" s="44" t="s">
        <v>165</v>
      </c>
      <c r="F458" s="67">
        <v>5</v>
      </c>
      <c r="G458" s="44">
        <v>0</v>
      </c>
      <c r="H458" s="44" t="s">
        <v>716</v>
      </c>
      <c r="I458" s="44"/>
      <c r="K458" s="19" t="str">
        <f t="shared" si="13"/>
        <v>INSERT INTO `comm_constant` (`ID`,`CONSTANT_TYPE`,`CONSTANT_TYPE_NAME`,`CONSTANT_NAME`,`CONSTANT_VALUE`,`DEL_FLG`,`CRT_ID`,`CRT_TIME`,`UPD_ID`,`UPD_TIME`,`ACT_ID`,`ACT_TIME`,`VER`) VALUES ('454', 'DeliveryConfirmStatus', '发货确认单状态', '待发货', '5', '0', 'admin', now(), 'admin', now(), 'admin', now(), 1);</v>
      </c>
    </row>
    <row r="459" spans="2:11">
      <c r="B459" s="44">
        <f t="shared" si="15"/>
        <v>455</v>
      </c>
      <c r="C459" s="44" t="s">
        <v>746</v>
      </c>
      <c r="D459" s="44" t="s">
        <v>747</v>
      </c>
      <c r="E459" s="44" t="s">
        <v>727</v>
      </c>
      <c r="F459" s="67">
        <v>6</v>
      </c>
      <c r="G459" s="44">
        <v>0</v>
      </c>
      <c r="H459" s="44" t="s">
        <v>716</v>
      </c>
      <c r="I459" s="44"/>
      <c r="K459" s="19" t="str">
        <f t="shared" ref="K459:K522" si="16">"INSERT INTO `comm_constant` (`ID`,`CONSTANT_TYPE`,`CONSTANT_TYPE_NAME`,`CONSTANT_NAME`,`CONSTANT_VALUE`,`DEL_FLG`,`CRT_ID`,`CRT_TIME`,`UPD_ID`,`UPD_TIME`,`ACT_ID`,`ACT_TIME`,`VER`) VALUES ("&amp;IF(B459="","NULL","'"&amp;B459&amp;"'")&amp;", "&amp;IF(C459="","NULL","'"&amp;C459&amp;"'")&amp;", "&amp;IF(D459="","NULL","'"&amp;D459&amp;"'")&amp;", "&amp;IF(E459="","NULL","'"&amp;E459&amp;"'")&amp;", "&amp;IF(F459="","NULL","'"&amp;F459&amp;"'")&amp;", "&amp;IF(G459="","NULL","'"&amp;G459&amp;"'")&amp;", 'admin', now(), 'admin', now(), 'admin', now(), 1);"</f>
        <v>INSERT INTO `comm_constant` (`ID`,`CONSTANT_TYPE`,`CONSTANT_TYPE_NAME`,`CONSTANT_NAME`,`CONSTANT_VALUE`,`DEL_FLG`,`CRT_ID`,`CRT_TIME`,`UPD_ID`,`UPD_TIME`,`ACT_ID`,`ACT_TIME`,`VER`) VALUES ('455', 'DeliveryConfirmStatus', '发货确认单状态', '部分完成', '6', '0', 'admin', now(), 'admin', now(), 'admin', now(), 1);</v>
      </c>
    </row>
    <row r="460" spans="2:11">
      <c r="B460" s="44">
        <f t="shared" si="15"/>
        <v>456</v>
      </c>
      <c r="C460" s="44" t="s">
        <v>746</v>
      </c>
      <c r="D460" s="44" t="s">
        <v>747</v>
      </c>
      <c r="E460" s="44" t="s">
        <v>750</v>
      </c>
      <c r="F460" s="67">
        <v>7</v>
      </c>
      <c r="G460" s="44">
        <v>0</v>
      </c>
      <c r="H460" s="44" t="s">
        <v>716</v>
      </c>
      <c r="I460" s="44"/>
      <c r="K460" s="19" t="str">
        <f t="shared" si="16"/>
        <v>INSERT INTO `comm_constant` (`ID`,`CONSTANT_TYPE`,`CONSTANT_TYPE_NAME`,`CONSTANT_NAME`,`CONSTANT_VALUE`,`DEL_FLG`,`CRT_ID`,`CRT_TIME`,`UPD_ID`,`UPD_TIME`,`ACT_ID`,`ACT_TIME`,`VER`) VALUES ('456', 'DeliveryConfirmStatus', '发货确认单状态', '已完成', '7', '0', 'admin', now(), 'admin', now(), 'admin', now(), 1);</v>
      </c>
    </row>
    <row r="461" spans="2:11">
      <c r="B461" s="44">
        <f t="shared" si="15"/>
        <v>457</v>
      </c>
      <c r="C461" s="44" t="s">
        <v>746</v>
      </c>
      <c r="D461" s="44" t="s">
        <v>747</v>
      </c>
      <c r="E461" s="44" t="s">
        <v>1061</v>
      </c>
      <c r="F461" s="67">
        <v>9</v>
      </c>
      <c r="G461" s="44">
        <v>0</v>
      </c>
      <c r="H461" s="44" t="s">
        <v>716</v>
      </c>
      <c r="I461" s="44"/>
      <c r="K461" s="19" t="str">
        <f t="shared" si="16"/>
        <v>INSERT INTO `comm_constant` (`ID`,`CONSTANT_TYPE`,`CONSTANT_TYPE_NAME`,`CONSTANT_NAME`,`CONSTANT_VALUE`,`DEL_FLG`,`CRT_ID`,`CRT_TIME`,`UPD_ID`,`UPD_TIME`,`ACT_ID`,`ACT_TIME`,`VER`) VALUES ('457', 'DeliveryConfirmStatus', '发货确认单状态', '已删除', '9', '0', 'admin', now(), 'admin', now(), 'admin', now(), 1);</v>
      </c>
    </row>
    <row r="462" spans="2:11">
      <c r="B462" s="44">
        <f t="shared" si="15"/>
        <v>458</v>
      </c>
      <c r="C462" s="44" t="s">
        <v>751</v>
      </c>
      <c r="D462" s="44" t="s">
        <v>752</v>
      </c>
      <c r="E462" s="44" t="s">
        <v>165</v>
      </c>
      <c r="F462" s="67">
        <v>0</v>
      </c>
      <c r="G462" s="44">
        <v>0</v>
      </c>
      <c r="H462" s="44" t="s">
        <v>716</v>
      </c>
      <c r="I462" s="44"/>
      <c r="K462" s="19" t="str">
        <f t="shared" si="16"/>
        <v>INSERT INTO `comm_constant` (`ID`,`CONSTANT_TYPE`,`CONSTANT_TYPE_NAME`,`CONSTANT_NAME`,`CONSTANT_VALUE`,`DEL_FLG`,`CRT_ID`,`CRT_TIME`,`UPD_ID`,`UPD_TIME`,`ACT_ID`,`ACT_TIME`,`VER`) VALUES ('458', 'ProductRecvStatus', '预入库通知单状态', '待发货', '0', '0', 'admin', now(), 'admin', now(), 'admin', now(), 1);</v>
      </c>
    </row>
    <row r="463" spans="2:11">
      <c r="B463" s="44">
        <f t="shared" si="15"/>
        <v>459</v>
      </c>
      <c r="C463" s="44" t="s">
        <v>751</v>
      </c>
      <c r="D463" s="44" t="s">
        <v>752</v>
      </c>
      <c r="E463" s="44" t="s">
        <v>753</v>
      </c>
      <c r="F463" s="67">
        <v>1</v>
      </c>
      <c r="G463" s="44">
        <v>0</v>
      </c>
      <c r="H463" s="44" t="s">
        <v>716</v>
      </c>
      <c r="I463" s="44"/>
      <c r="K463" s="19" t="str">
        <f t="shared" si="16"/>
        <v>INSERT INTO `comm_constant` (`ID`,`CONSTANT_TYPE`,`CONSTANT_TYPE_NAME`,`CONSTANT_NAME`,`CONSTANT_VALUE`,`DEL_FLG`,`CRT_ID`,`CRT_TIME`,`UPD_ID`,`UPD_TIME`,`ACT_ID`,`ACT_TIME`,`VER`) VALUES ('459', 'ProductRecvStatus', '预入库通知单状态', '在途', '1', '0', 'admin', now(), 'admin', now(), 'admin', now(), 1);</v>
      </c>
    </row>
    <row r="464" spans="2:11">
      <c r="B464" s="44">
        <f t="shared" si="15"/>
        <v>460</v>
      </c>
      <c r="C464" s="44" t="s">
        <v>751</v>
      </c>
      <c r="D464" s="44" t="s">
        <v>752</v>
      </c>
      <c r="E464" s="44" t="s">
        <v>169</v>
      </c>
      <c r="F464" s="67">
        <v>5</v>
      </c>
      <c r="G464" s="44">
        <v>0</v>
      </c>
      <c r="H464" s="44" t="s">
        <v>716</v>
      </c>
      <c r="I464" s="44"/>
      <c r="K464" s="19" t="str">
        <f t="shared" si="16"/>
        <v>INSERT INTO `comm_constant` (`ID`,`CONSTANT_TYPE`,`CONSTANT_TYPE_NAME`,`CONSTANT_NAME`,`CONSTANT_VALUE`,`DEL_FLG`,`CRT_ID`,`CRT_TIME`,`UPD_ID`,`UPD_TIME`,`ACT_ID`,`ACT_TIME`,`VER`) VALUES ('460', 'ProductRecvStatus', '预入库通知单状态', '全部收货', '5', '0', 'admin', now(), 'admin', now(), 'admin', now(), 1);</v>
      </c>
    </row>
    <row r="465" spans="2:11">
      <c r="B465" s="44">
        <f t="shared" si="15"/>
        <v>461</v>
      </c>
      <c r="C465" s="44" t="s">
        <v>751</v>
      </c>
      <c r="D465" s="44" t="s">
        <v>752</v>
      </c>
      <c r="E465" s="44" t="s">
        <v>167</v>
      </c>
      <c r="F465" s="67">
        <v>6</v>
      </c>
      <c r="G465" s="44">
        <v>0</v>
      </c>
      <c r="H465" s="44" t="s">
        <v>716</v>
      </c>
      <c r="I465" s="44"/>
      <c r="K465" s="19" t="str">
        <f t="shared" si="16"/>
        <v>INSERT INTO `comm_constant` (`ID`,`CONSTANT_TYPE`,`CONSTANT_TYPE_NAME`,`CONSTANT_NAME`,`CONSTANT_VALUE`,`DEL_FLG`,`CRT_ID`,`CRT_TIME`,`UPD_ID`,`UPD_TIME`,`ACT_ID`,`ACT_TIME`,`VER`) VALUES ('461', 'ProductRecvStatus', '预入库通知单状态', '部分收货', '6', '0', 'admin', now(), 'admin', now(), 'admin', now(), 1);</v>
      </c>
    </row>
    <row r="466" spans="2:11">
      <c r="B466" s="44">
        <f t="shared" si="15"/>
        <v>462</v>
      </c>
      <c r="C466" s="44" t="s">
        <v>751</v>
      </c>
      <c r="D466" s="44" t="s">
        <v>752</v>
      </c>
      <c r="E466" s="44" t="s">
        <v>721</v>
      </c>
      <c r="F466" s="67">
        <v>4</v>
      </c>
      <c r="G466" s="44">
        <v>0</v>
      </c>
      <c r="H466" s="44" t="s">
        <v>716</v>
      </c>
      <c r="I466" s="44"/>
      <c r="K466" s="19" t="str">
        <f t="shared" si="16"/>
        <v>INSERT INTO `comm_constant` (`ID`,`CONSTANT_TYPE`,`CONSTANT_TYPE_NAME`,`CONSTANT_NAME`,`CONSTANT_VALUE`,`DEL_FLG`,`CRT_ID`,`CRT_TIME`,`UPD_ID`,`UPD_TIME`,`ACT_ID`,`ACT_TIME`,`VER`) VALUES ('462', 'ProductRecvStatus', '预入库通知单状态', '已取消', '4', '0', 'admin', now(), 'admin', now(), 'admin', now(), 1);</v>
      </c>
    </row>
    <row r="467" spans="2:11">
      <c r="B467" s="44">
        <f t="shared" si="14"/>
        <v>463</v>
      </c>
      <c r="C467" s="44" t="s">
        <v>751</v>
      </c>
      <c r="D467" s="44" t="s">
        <v>752</v>
      </c>
      <c r="E467" s="44" t="s">
        <v>1062</v>
      </c>
      <c r="F467" s="67">
        <v>9</v>
      </c>
      <c r="G467" s="44">
        <v>0</v>
      </c>
      <c r="H467" s="44" t="s">
        <v>716</v>
      </c>
      <c r="I467" s="44"/>
      <c r="K467" s="19" t="str">
        <f t="shared" si="16"/>
        <v>INSERT INTO `comm_constant` (`ID`,`CONSTANT_TYPE`,`CONSTANT_TYPE_NAME`,`CONSTANT_NAME`,`CONSTANT_VALUE`,`DEL_FLG`,`CRT_ID`,`CRT_TIME`,`UPD_ID`,`UPD_TIME`,`ACT_ID`,`ACT_TIME`,`VER`) VALUES ('463', 'ProductRecvStatus', '预入库通知单状态', '已删除 ', '9', '0', 'admin', now(), 'admin', now(), 'admin', now(), 1);</v>
      </c>
    </row>
    <row r="468" spans="2:11">
      <c r="B468" s="44">
        <f t="shared" si="14"/>
        <v>464</v>
      </c>
      <c r="C468" s="44" t="s">
        <v>754</v>
      </c>
      <c r="D468" s="44" t="s">
        <v>270</v>
      </c>
      <c r="E468" s="44" t="s">
        <v>1063</v>
      </c>
      <c r="F468" s="67">
        <v>0</v>
      </c>
      <c r="G468" s="44">
        <v>0</v>
      </c>
      <c r="H468" s="44" t="s">
        <v>716</v>
      </c>
      <c r="I468" s="44"/>
      <c r="K468" s="19" t="str">
        <f t="shared" si="16"/>
        <v>INSERT INTO `comm_constant` (`ID`,`CONSTANT_TYPE`,`CONSTANT_TYPE_NAME`,`CONSTANT_NAME`,`CONSTANT_VALUE`,`DEL_FLG`,`CRT_ID`,`CRT_TIME`,`UPD_ID`,`UPD_TIME`,`ACT_ID`,`ACT_TIME`,`VER`) VALUES ('464', 'SscPaymentType', '支付类型', '预付款', '0', '0', 'admin', now(), 'admin', now(), 'admin', now(), 1);</v>
      </c>
    </row>
    <row r="469" spans="2:11">
      <c r="B469" s="44">
        <f t="shared" si="14"/>
        <v>465</v>
      </c>
      <c r="C469" s="44" t="s">
        <v>1064</v>
      </c>
      <c r="D469" s="44" t="s">
        <v>1065</v>
      </c>
      <c r="E469" s="44" t="s">
        <v>755</v>
      </c>
      <c r="F469" s="67">
        <v>1</v>
      </c>
      <c r="G469" s="44">
        <v>0</v>
      </c>
      <c r="H469" s="44" t="s">
        <v>1066</v>
      </c>
      <c r="I469" s="44"/>
      <c r="K469" s="19" t="str">
        <f t="shared" si="16"/>
        <v>INSERT INTO `comm_constant` (`ID`,`CONSTANT_TYPE`,`CONSTANT_TYPE_NAME`,`CONSTANT_NAME`,`CONSTANT_VALUE`,`DEL_FLG`,`CRT_ID`,`CRT_TIME`,`UPD_ID`,`UPD_TIME`,`ACT_ID`,`ACT_TIME`,`VER`) VALUES ('465', 'SscPaymentType', '支付类型', '进度款', '1', '0', 'admin', now(), 'admin', now(), 'admin', now(), 1);</v>
      </c>
    </row>
    <row r="470" spans="2:11">
      <c r="B470" s="44">
        <f t="shared" si="14"/>
        <v>466</v>
      </c>
      <c r="C470" s="44" t="s">
        <v>1067</v>
      </c>
      <c r="D470" s="44" t="s">
        <v>1068</v>
      </c>
      <c r="E470" s="44" t="s">
        <v>1069</v>
      </c>
      <c r="F470" s="67">
        <v>2</v>
      </c>
      <c r="G470" s="44">
        <v>0</v>
      </c>
      <c r="H470" s="44" t="s">
        <v>1066</v>
      </c>
      <c r="I470" s="44" t="s">
        <v>1070</v>
      </c>
      <c r="K470" s="19" t="str">
        <f t="shared" si="16"/>
        <v>INSERT INTO `comm_constant` (`ID`,`CONSTANT_TYPE`,`CONSTANT_TYPE_NAME`,`CONSTANT_NAME`,`CONSTANT_VALUE`,`DEL_FLG`,`CRT_ID`,`CRT_TIME`,`UPD_ID`,`UPD_TIME`,`ACT_ID`,`ACT_TIME`,`VER`) VALUES ('466', 'SscPaymentType', '支付类型', '余款', '2', '0', 'admin', now(), 'admin', now(), 'admin', now(), 1);</v>
      </c>
    </row>
    <row r="471" spans="2:11">
      <c r="B471" s="44">
        <f t="shared" si="14"/>
        <v>467</v>
      </c>
      <c r="C471" s="44" t="s">
        <v>756</v>
      </c>
      <c r="D471" s="44" t="s">
        <v>428</v>
      </c>
      <c r="E471" s="44" t="s">
        <v>160</v>
      </c>
      <c r="F471" s="67">
        <v>0</v>
      </c>
      <c r="G471" s="44">
        <v>0</v>
      </c>
      <c r="H471" s="44" t="s">
        <v>716</v>
      </c>
      <c r="I471" s="44"/>
      <c r="K471" s="19" t="str">
        <f t="shared" si="16"/>
        <v>INSERT INTO `comm_constant` (`ID`,`CONSTANT_TYPE`,`CONSTANT_TYPE_NAME`,`CONSTANT_NAME`,`CONSTANT_VALUE`,`DEL_FLG`,`CRT_ID`,`CRT_TIME`,`UPD_ID`,`UPD_TIME`,`ACT_ID`,`ACT_TIME`,`VER`) VALUES ('467', 'PaymentStatus', '支付状态', '待审核', '0', '0', 'admin', now(), 'admin', now(), 'admin', now(), 1);</v>
      </c>
    </row>
    <row r="472" spans="2:11">
      <c r="B472" s="44">
        <f t="shared" si="14"/>
        <v>468</v>
      </c>
      <c r="C472" s="44" t="s">
        <v>756</v>
      </c>
      <c r="D472" s="44" t="s">
        <v>428</v>
      </c>
      <c r="E472" s="44" t="s">
        <v>757</v>
      </c>
      <c r="F472" s="67">
        <v>1</v>
      </c>
      <c r="G472" s="44">
        <v>0</v>
      </c>
      <c r="H472" s="44" t="s">
        <v>716</v>
      </c>
      <c r="I472" s="44"/>
      <c r="K472" s="19" t="str">
        <f t="shared" si="16"/>
        <v>INSERT INTO `comm_constant` (`ID`,`CONSTANT_TYPE`,`CONSTANT_TYPE_NAME`,`CONSTANT_NAME`,`CONSTANT_VALUE`,`DEL_FLG`,`CRT_ID`,`CRT_TIME`,`UPD_ID`,`UPD_TIME`,`ACT_ID`,`ACT_TIME`,`VER`) VALUES ('468', 'PaymentStatus', '支付状态', '部分付款', '1', '0', 'admin', now(), 'admin', now(), 'admin', now(), 1);</v>
      </c>
    </row>
    <row r="473" spans="2:11">
      <c r="B473" s="44">
        <f t="shared" si="14"/>
        <v>469</v>
      </c>
      <c r="C473" s="44" t="s">
        <v>756</v>
      </c>
      <c r="D473" s="44" t="s">
        <v>428</v>
      </c>
      <c r="E473" s="44" t="s">
        <v>159</v>
      </c>
      <c r="F473" s="67">
        <v>2</v>
      </c>
      <c r="G473" s="44">
        <v>0</v>
      </c>
      <c r="H473" s="44" t="s">
        <v>716</v>
      </c>
      <c r="I473" s="44"/>
      <c r="K473" s="19" t="str">
        <f t="shared" si="16"/>
        <v>INSERT INTO `comm_constant` (`ID`,`CONSTANT_TYPE`,`CONSTANT_TYPE_NAME`,`CONSTANT_NAME`,`CONSTANT_VALUE`,`DEL_FLG`,`CRT_ID`,`CRT_TIME`,`UPD_ID`,`UPD_TIME`,`ACT_ID`,`ACT_TIME`,`VER`) VALUES ('469', 'PaymentStatus', '支付状态', '已付款', '2', '0', 'admin', now(), 'admin', now(), 'admin', now(), 1);</v>
      </c>
    </row>
    <row r="474" spans="2:11">
      <c r="B474" s="44">
        <f t="shared" si="14"/>
        <v>470</v>
      </c>
      <c r="C474" s="44" t="s">
        <v>1071</v>
      </c>
      <c r="D474" s="44" t="s">
        <v>1072</v>
      </c>
      <c r="E474" s="44" t="s">
        <v>758</v>
      </c>
      <c r="F474" s="67">
        <v>3</v>
      </c>
      <c r="G474" s="44">
        <v>0</v>
      </c>
      <c r="H474" s="44" t="s">
        <v>716</v>
      </c>
      <c r="I474" s="44"/>
      <c r="K474" s="19" t="str">
        <f t="shared" si="16"/>
        <v>INSERT INTO `comm_constant` (`ID`,`CONSTANT_TYPE`,`CONSTANT_TYPE_NAME`,`CONSTANT_NAME`,`CONSTANT_VALUE`,`DEL_FLG`,`CRT_ID`,`CRT_TIME`,`UPD_ID`,`UPD_TIME`,`ACT_ID`,`ACT_TIME`,`VER`) VALUES ('470', 'PaymentStatus', '支付状态', '全部付款', '3', '0', 'admin', now(), 'admin', now(), 'admin', now(), 1);</v>
      </c>
    </row>
    <row r="475" spans="2:11">
      <c r="B475" s="44">
        <f t="shared" si="14"/>
        <v>471</v>
      </c>
      <c r="C475" s="44" t="s">
        <v>1071</v>
      </c>
      <c r="D475" s="44" t="s">
        <v>1072</v>
      </c>
      <c r="E475" s="44" t="s">
        <v>1073</v>
      </c>
      <c r="F475" s="67">
        <v>4</v>
      </c>
      <c r="G475" s="44">
        <v>0</v>
      </c>
      <c r="H475" s="44" t="s">
        <v>716</v>
      </c>
      <c r="I475" s="44" t="s">
        <v>1074</v>
      </c>
      <c r="K475" s="19" t="str">
        <f t="shared" si="16"/>
        <v>INSERT INTO `comm_constant` (`ID`,`CONSTANT_TYPE`,`CONSTANT_TYPE_NAME`,`CONSTANT_NAME`,`CONSTANT_VALUE`,`DEL_FLG`,`CRT_ID`,`CRT_TIME`,`UPD_ID`,`UPD_TIME`,`ACT_ID`,`ACT_TIME`,`VER`) VALUES ('471', 'PaymentStatus', '支付状态', '未付款', '4', '0', 'admin', now(), 'admin', now(), 'admin', now(), 1);</v>
      </c>
    </row>
    <row r="476" spans="2:11">
      <c r="B476" s="44">
        <f t="shared" si="14"/>
        <v>472</v>
      </c>
      <c r="C476" s="44" t="s">
        <v>759</v>
      </c>
      <c r="D476" s="44" t="s">
        <v>760</v>
      </c>
      <c r="E476" s="44" t="s">
        <v>219</v>
      </c>
      <c r="F476" s="67">
        <v>0</v>
      </c>
      <c r="G476" s="44">
        <v>0</v>
      </c>
      <c r="H476" s="44" t="s">
        <v>716</v>
      </c>
      <c r="I476" s="44"/>
      <c r="K476" s="19" t="str">
        <f t="shared" si="16"/>
        <v>INSERT INTO `comm_constant` (`ID`,`CONSTANT_TYPE`,`CONSTANT_TYPE_NAME`,`CONSTANT_NAME`,`CONSTANT_VALUE`,`DEL_FLG`,`CRT_ID`,`CRT_TIME`,`UPD_ID`,`UPD_TIME`,`ACT_ID`,`ACT_TIME`,`VER`) VALUES ('472', 'ApproveResult', '审批结果', '同意', '0', '0', 'admin', now(), 'admin', now(), 'admin', now(), 1);</v>
      </c>
    </row>
    <row r="477" spans="2:11">
      <c r="B477" s="44">
        <f t="shared" si="14"/>
        <v>473</v>
      </c>
      <c r="C477" s="44" t="s">
        <v>759</v>
      </c>
      <c r="D477" s="44" t="s">
        <v>760</v>
      </c>
      <c r="E477" s="44" t="s">
        <v>220</v>
      </c>
      <c r="F477" s="67">
        <v>1</v>
      </c>
      <c r="G477" s="44">
        <v>0</v>
      </c>
      <c r="H477" s="44" t="s">
        <v>716</v>
      </c>
      <c r="I477" s="44"/>
      <c r="K477" s="19" t="str">
        <f t="shared" si="16"/>
        <v>INSERT INTO `comm_constant` (`ID`,`CONSTANT_TYPE`,`CONSTANT_TYPE_NAME`,`CONSTANT_NAME`,`CONSTANT_VALUE`,`DEL_FLG`,`CRT_ID`,`CRT_TIME`,`UPD_ID`,`UPD_TIME`,`ACT_ID`,`ACT_TIME`,`VER`) VALUES ('473', 'ApproveResult', '审批结果', '不同意', '1', '0', 'admin', now(), 'admin', now(), 'admin', now(), 1);</v>
      </c>
    </row>
    <row r="478" spans="2:11">
      <c r="B478" s="44">
        <f t="shared" si="14"/>
        <v>474</v>
      </c>
      <c r="C478" s="44" t="s">
        <v>761</v>
      </c>
      <c r="D478" s="44" t="s">
        <v>226</v>
      </c>
      <c r="E478" s="44" t="s">
        <v>219</v>
      </c>
      <c r="F478" s="67">
        <v>0</v>
      </c>
      <c r="G478" s="44">
        <v>0</v>
      </c>
      <c r="H478" s="44" t="s">
        <v>716</v>
      </c>
      <c r="I478" s="44"/>
      <c r="K478" s="19" t="str">
        <f t="shared" si="16"/>
        <v>INSERT INTO `comm_constant` (`ID`,`CONSTANT_TYPE`,`CONSTANT_TYPE_NAME`,`CONSTANT_NAME`,`CONSTANT_VALUE`,`DEL_FLG`,`CRT_ID`,`CRT_TIME`,`UPD_ID`,`UPD_TIME`,`ACT_ID`,`ACT_TIME`,`VER`) VALUES ('474', 'AuditResult ', '审核结果', '同意', '0', '0', 'admin', now(), 'admin', now(), 'admin', now(), 1);</v>
      </c>
    </row>
    <row r="479" spans="2:11">
      <c r="B479" s="44">
        <f t="shared" si="14"/>
        <v>475</v>
      </c>
      <c r="C479" s="44" t="s">
        <v>761</v>
      </c>
      <c r="D479" s="44" t="s">
        <v>226</v>
      </c>
      <c r="E479" s="44" t="s">
        <v>220</v>
      </c>
      <c r="F479" s="67">
        <v>1</v>
      </c>
      <c r="G479" s="44">
        <v>0</v>
      </c>
      <c r="H479" s="44" t="s">
        <v>716</v>
      </c>
      <c r="I479" s="44"/>
      <c r="K479" s="19" t="str">
        <f t="shared" si="16"/>
        <v>INSERT INTO `comm_constant` (`ID`,`CONSTANT_TYPE`,`CONSTANT_TYPE_NAME`,`CONSTANT_NAME`,`CONSTANT_VALUE`,`DEL_FLG`,`CRT_ID`,`CRT_TIME`,`UPD_ID`,`UPD_TIME`,`ACT_ID`,`ACT_TIME`,`VER`) VALUES ('475', 'AuditResult ', '审核结果', '不同意', '1', '0', 'admin', now(), 'admin', now(), 'admin', now(), 1);</v>
      </c>
    </row>
    <row r="480" spans="2:11">
      <c r="B480" s="44">
        <f t="shared" si="14"/>
        <v>476</v>
      </c>
      <c r="C480" s="44" t="s">
        <v>1075</v>
      </c>
      <c r="D480" s="44" t="s">
        <v>1076</v>
      </c>
      <c r="E480" s="44" t="s">
        <v>1077</v>
      </c>
      <c r="F480" s="67">
        <v>0</v>
      </c>
      <c r="G480" s="44">
        <v>0</v>
      </c>
      <c r="H480" s="44" t="s">
        <v>716</v>
      </c>
      <c r="I480" s="44"/>
      <c r="K480" s="19" t="str">
        <f t="shared" si="16"/>
        <v>INSERT INTO `comm_constant` (`ID`,`CONSTANT_TYPE`,`CONSTANT_TYPE_NAME`,`CONSTANT_NAME`,`CONSTANT_VALUE`,`DEL_FLG`,`CRT_ID`,`CRT_TIME`,`UPD_ID`,`UPD_TIME`,`ACT_ID`,`ACT_TIME`,`VER`) VALUES ('476', 'DifferStatus', '入库差异单状态', '未确认', '0', '0', 'admin', now(), 'admin', now(), 'admin', now(), 1);</v>
      </c>
    </row>
    <row r="481" spans="2:11">
      <c r="B481" s="44">
        <f t="shared" si="14"/>
        <v>477</v>
      </c>
      <c r="C481" s="44" t="s">
        <v>1075</v>
      </c>
      <c r="D481" s="44" t="s">
        <v>1076</v>
      </c>
      <c r="E481" s="44" t="s">
        <v>1078</v>
      </c>
      <c r="F481" s="67">
        <v>1</v>
      </c>
      <c r="G481" s="44">
        <v>0</v>
      </c>
      <c r="H481" s="44" t="s">
        <v>716</v>
      </c>
      <c r="I481" s="44"/>
      <c r="K481" s="19" t="str">
        <f t="shared" si="16"/>
        <v>INSERT INTO `comm_constant` (`ID`,`CONSTANT_TYPE`,`CONSTANT_TYPE_NAME`,`CONSTANT_NAME`,`CONSTANT_VALUE`,`DEL_FLG`,`CRT_ID`,`CRT_TIME`,`UPD_ID`,`UPD_TIME`,`ACT_ID`,`ACT_TIME`,`VER`) VALUES ('477', 'DifferStatus', '入库差异单状态', '已确认', '1', '0', 'admin', now(), 'admin', now(), 'admin', now(), 1);</v>
      </c>
    </row>
    <row r="482" spans="2:11">
      <c r="B482" s="44">
        <f t="shared" si="14"/>
        <v>478</v>
      </c>
      <c r="C482" s="44" t="s">
        <v>1079</v>
      </c>
      <c r="D482" s="44" t="s">
        <v>1080</v>
      </c>
      <c r="E482" s="44" t="s">
        <v>1081</v>
      </c>
      <c r="F482" s="67">
        <v>0</v>
      </c>
      <c r="G482" s="44">
        <v>0</v>
      </c>
      <c r="H482" s="44" t="s">
        <v>716</v>
      </c>
      <c r="I482" s="44" t="s">
        <v>1082</v>
      </c>
      <c r="K482" s="19" t="str">
        <f t="shared" si="16"/>
        <v>INSERT INTO `comm_constant` (`ID`,`CONSTANT_TYPE`,`CONSTANT_TYPE_NAME`,`CONSTANT_NAME`,`CONSTANT_VALUE`,`DEL_FLG`,`CRT_ID`,`CRT_TIME`,`UPD_ID`,`UPD_TIME`,`ACT_ID`,`ACT_TIME`,`VER`) VALUES ('478', 'VerificationStatus', '核销单处理状态', '未处理', '0', '0', 'admin', now(), 'admin', now(), 'admin', now(), 1);</v>
      </c>
    </row>
    <row r="483" spans="2:11">
      <c r="B483" s="44">
        <f t="shared" ref="B483:B568" si="17">ROW()-4</f>
        <v>479</v>
      </c>
      <c r="C483" s="44" t="s">
        <v>1079</v>
      </c>
      <c r="D483" s="44" t="s">
        <v>1080</v>
      </c>
      <c r="E483" s="44" t="s">
        <v>1083</v>
      </c>
      <c r="F483" s="67">
        <v>1</v>
      </c>
      <c r="G483" s="44">
        <v>0</v>
      </c>
      <c r="H483" s="44" t="s">
        <v>716</v>
      </c>
      <c r="I483" s="44" t="s">
        <v>1084</v>
      </c>
      <c r="K483" s="19" t="str">
        <f t="shared" si="16"/>
        <v>INSERT INTO `comm_constant` (`ID`,`CONSTANT_TYPE`,`CONSTANT_TYPE_NAME`,`CONSTANT_NAME`,`CONSTANT_VALUE`,`DEL_FLG`,`CRT_ID`,`CRT_TIME`,`UPD_ID`,`UPD_TIME`,`ACT_ID`,`ACT_TIME`,`VER`) VALUES ('479', 'VerificationStatus', '核销单处理状态', '待确认', '1', '0', 'admin', now(), 'admin', now(), 'admin', now(), 1);</v>
      </c>
    </row>
    <row r="484" spans="2:11">
      <c r="B484" s="44">
        <f t="shared" si="17"/>
        <v>480</v>
      </c>
      <c r="C484" s="44" t="s">
        <v>1079</v>
      </c>
      <c r="D484" s="44" t="s">
        <v>1080</v>
      </c>
      <c r="E484" s="44" t="s">
        <v>1085</v>
      </c>
      <c r="F484" s="67">
        <v>2</v>
      </c>
      <c r="G484" s="44">
        <v>0</v>
      </c>
      <c r="H484" s="44" t="s">
        <v>716</v>
      </c>
      <c r="I484" s="44" t="s">
        <v>1086</v>
      </c>
      <c r="K484" s="19" t="str">
        <f t="shared" si="16"/>
        <v>INSERT INTO `comm_constant` (`ID`,`CONSTANT_TYPE`,`CONSTANT_TYPE_NAME`,`CONSTANT_NAME`,`CONSTANT_VALUE`,`DEL_FLG`,`CRT_ID`,`CRT_TIME`,`UPD_ID`,`UPD_TIME`,`ACT_ID`,`ACT_TIME`,`VER`) VALUES ('480', 'VerificationStatus', '核销单处理状态', '确认中', '2', '0', 'admin', now(), 'admin', now(), 'admin', now(), 1);</v>
      </c>
    </row>
    <row r="485" spans="2:11">
      <c r="B485" s="44">
        <f t="shared" si="17"/>
        <v>481</v>
      </c>
      <c r="C485" s="44" t="s">
        <v>1079</v>
      </c>
      <c r="D485" s="44" t="s">
        <v>1080</v>
      </c>
      <c r="E485" s="44" t="s">
        <v>1078</v>
      </c>
      <c r="F485" s="67">
        <v>3</v>
      </c>
      <c r="G485" s="44">
        <v>0</v>
      </c>
      <c r="H485" s="44" t="s">
        <v>716</v>
      </c>
      <c r="I485" s="44"/>
      <c r="K485" s="19" t="str">
        <f t="shared" si="16"/>
        <v>INSERT INTO `comm_constant` (`ID`,`CONSTANT_TYPE`,`CONSTANT_TYPE_NAME`,`CONSTANT_NAME`,`CONSTANT_VALUE`,`DEL_FLG`,`CRT_ID`,`CRT_TIME`,`UPD_ID`,`UPD_TIME`,`ACT_ID`,`ACT_TIME`,`VER`) VALUES ('481', 'VerificationStatus', '核销单处理状态', '已确认', '3', '0', 'admin', now(), 'admin', now(), 'admin', now(), 1);</v>
      </c>
    </row>
    <row r="486" spans="2:11">
      <c r="B486" s="44">
        <f t="shared" si="17"/>
        <v>482</v>
      </c>
      <c r="C486" s="44" t="s">
        <v>1079</v>
      </c>
      <c r="D486" s="44" t="s">
        <v>1080</v>
      </c>
      <c r="E486" s="44" t="s">
        <v>1087</v>
      </c>
      <c r="F486" s="67">
        <v>4</v>
      </c>
      <c r="G486" s="44">
        <v>0</v>
      </c>
      <c r="H486" s="44" t="s">
        <v>1088</v>
      </c>
      <c r="I486" s="44"/>
      <c r="K486" s="19" t="str">
        <f t="shared" si="16"/>
        <v>INSERT INTO `comm_constant` (`ID`,`CONSTANT_TYPE`,`CONSTANT_TYPE_NAME`,`CONSTANT_NAME`,`CONSTANT_VALUE`,`DEL_FLG`,`CRT_ID`,`CRT_TIME`,`UPD_ID`,`UPD_TIME`,`ACT_ID`,`ACT_TIME`,`VER`) VALUES ('482', 'VerificationStatus', '核销单处理状态', '已结案', '4', '0', 'admin', now(), 'admin', now(), 'admin', now(), 1);</v>
      </c>
    </row>
    <row r="487" spans="2:11">
      <c r="B487" s="44">
        <f t="shared" si="17"/>
        <v>483</v>
      </c>
      <c r="C487" s="44" t="s">
        <v>1079</v>
      </c>
      <c r="D487" s="44" t="s">
        <v>1080</v>
      </c>
      <c r="E487" s="44" t="s">
        <v>1089</v>
      </c>
      <c r="F487" s="67">
        <v>5</v>
      </c>
      <c r="G487" s="44">
        <v>0</v>
      </c>
      <c r="H487" s="44" t="s">
        <v>1088</v>
      </c>
      <c r="I487" s="44"/>
      <c r="K487" s="19" t="str">
        <f t="shared" si="16"/>
        <v>INSERT INTO `comm_constant` (`ID`,`CONSTANT_TYPE`,`CONSTANT_TYPE_NAME`,`CONSTANT_NAME`,`CONSTANT_VALUE`,`DEL_FLG`,`CRT_ID`,`CRT_TIME`,`UPD_ID`,`UPD_TIME`,`ACT_ID`,`ACT_TIME`,`VER`) VALUES ('483', 'VerificationStatus', '核销单处理状态', '已删除', '5', '0', 'admin', now(), 'admin', now(), 'admin', now(), 1);</v>
      </c>
    </row>
    <row r="488" spans="2:11">
      <c r="B488" s="44">
        <f t="shared" si="17"/>
        <v>484</v>
      </c>
      <c r="C488" s="44" t="s">
        <v>1090</v>
      </c>
      <c r="D488" s="44" t="s">
        <v>1091</v>
      </c>
      <c r="E488" s="44" t="s">
        <v>1092</v>
      </c>
      <c r="F488" s="67">
        <v>0</v>
      </c>
      <c r="G488" s="44">
        <v>0</v>
      </c>
      <c r="H488" s="44" t="s">
        <v>716</v>
      </c>
      <c r="I488" s="44" t="s">
        <v>1093</v>
      </c>
      <c r="K488" s="19" t="str">
        <f t="shared" si="16"/>
        <v>INSERT INTO `comm_constant` (`ID`,`CONSTANT_TYPE`,`CONSTANT_TYPE_NAME`,`CONSTANT_NAME`,`CONSTANT_VALUE`,`DEL_FLG`,`CRT_ID`,`CRT_TIME`,`UPD_ID`,`UPD_TIME`,`ACT_ID`,`ACT_TIME`,`VER`) VALUES ('484', 'VerificationType', '核销结果处理', '退款', '0', '0', 'admin', now(), 'admin', now(), 'admin', now(), 1);</v>
      </c>
    </row>
    <row r="489" spans="2:11">
      <c r="B489" s="44">
        <f t="shared" si="17"/>
        <v>485</v>
      </c>
      <c r="C489" s="44" t="s">
        <v>1090</v>
      </c>
      <c r="D489" s="44" t="s">
        <v>1091</v>
      </c>
      <c r="E489" s="44" t="s">
        <v>1094</v>
      </c>
      <c r="F489" s="67">
        <v>1</v>
      </c>
      <c r="G489" s="44">
        <v>0</v>
      </c>
      <c r="H489" s="44" t="s">
        <v>716</v>
      </c>
      <c r="I489" s="44" t="s">
        <v>1095</v>
      </c>
      <c r="K489" s="19" t="str">
        <f t="shared" si="16"/>
        <v>INSERT INTO `comm_constant` (`ID`,`CONSTANT_TYPE`,`CONSTANT_TYPE_NAME`,`CONSTANT_NAME`,`CONSTANT_VALUE`,`DEL_FLG`,`CRT_ID`,`CRT_TIME`,`UPD_ID`,`UPD_TIME`,`ACT_ID`,`ACT_TIME`,`VER`) VALUES ('485', 'VerificationType', '核销结果处理', '挂账', '1', '0', 'admin', now(), 'admin', now(), 'admin', now(), 1);</v>
      </c>
    </row>
    <row r="490" spans="2:11">
      <c r="B490" s="44">
        <f t="shared" si="17"/>
        <v>486</v>
      </c>
      <c r="C490" s="44" t="s">
        <v>1090</v>
      </c>
      <c r="D490" s="44" t="s">
        <v>1091</v>
      </c>
      <c r="E490" s="44" t="s">
        <v>1096</v>
      </c>
      <c r="F490" s="67">
        <v>2</v>
      </c>
      <c r="G490" s="44">
        <v>0</v>
      </c>
      <c r="H490" s="44" t="s">
        <v>716</v>
      </c>
      <c r="I490" s="44" t="s">
        <v>1097</v>
      </c>
      <c r="K490" s="19" t="str">
        <f t="shared" si="16"/>
        <v>INSERT INTO `comm_constant` (`ID`,`CONSTANT_TYPE`,`CONSTANT_TYPE_NAME`,`CONSTANT_NAME`,`CONSTANT_VALUE`,`DEL_FLG`,`CRT_ID`,`CRT_TIME`,`UPD_ID`,`UPD_TIME`,`ACT_ID`,`ACT_TIME`,`VER`) VALUES ('486', 'VerificationType', '核销结果处理', '其他', '2', '0', 'admin', now(), 'admin', now(), 'admin', now(), 1);</v>
      </c>
    </row>
    <row r="491" spans="2:11">
      <c r="B491" s="44">
        <f t="shared" si="17"/>
        <v>487</v>
      </c>
      <c r="C491" s="44" t="s">
        <v>1098</v>
      </c>
      <c r="D491" s="44" t="s">
        <v>1099</v>
      </c>
      <c r="E491" s="44" t="s">
        <v>177</v>
      </c>
      <c r="F491" s="67">
        <v>0</v>
      </c>
      <c r="G491" s="44">
        <v>0</v>
      </c>
      <c r="H491" s="44" t="s">
        <v>716</v>
      </c>
      <c r="I491" s="44" t="s">
        <v>1100</v>
      </c>
      <c r="K491" s="19" t="str">
        <f t="shared" si="16"/>
        <v>INSERT INTO `comm_constant` (`ID`,`CONSTANT_TYPE`,`CONSTANT_TYPE_NAME`,`CONSTANT_NAME`,`CONSTANT_VALUE`,`DEL_FLG`,`CRT_ID`,`CRT_TIME`,`UPD_ID`,`UPD_TIME`,`ACT_ID`,`ACT_TIME`,`VER`) VALUES ('487', 'InvoiceStatus', '发票申请状态', '申请中', '0', '0', 'admin', now(), 'admin', now(), 'admin', now(), 1);</v>
      </c>
    </row>
    <row r="492" spans="2:11">
      <c r="B492" s="44">
        <f t="shared" si="17"/>
        <v>488</v>
      </c>
      <c r="C492" s="44" t="s">
        <v>1101</v>
      </c>
      <c r="D492" s="44" t="s">
        <v>1102</v>
      </c>
      <c r="E492" s="44" t="s">
        <v>154</v>
      </c>
      <c r="F492" s="67">
        <v>1</v>
      </c>
      <c r="G492" s="44">
        <v>0</v>
      </c>
      <c r="H492" s="44" t="s">
        <v>716</v>
      </c>
      <c r="I492" s="44" t="s">
        <v>1103</v>
      </c>
      <c r="K492" s="19" t="str">
        <f t="shared" si="16"/>
        <v>INSERT INTO `comm_constant` (`ID`,`CONSTANT_TYPE`,`CONSTANT_TYPE_NAME`,`CONSTANT_NAME`,`CONSTANT_VALUE`,`DEL_FLG`,`CRT_ID`,`CRT_TIME`,`UPD_ID`,`UPD_TIME`,`ACT_ID`,`ACT_TIME`,`VER`) VALUES ('488', 'InvoiceStatus', '发票申请状态', '已审批', '1', '0', 'admin', now(), 'admin', now(), 'admin', now(), 1);</v>
      </c>
    </row>
    <row r="493" spans="2:11">
      <c r="B493" s="44">
        <f t="shared" si="17"/>
        <v>489</v>
      </c>
      <c r="C493" s="44" t="s">
        <v>1104</v>
      </c>
      <c r="D493" s="44" t="s">
        <v>1105</v>
      </c>
      <c r="E493" s="44" t="s">
        <v>161</v>
      </c>
      <c r="F493" s="67">
        <v>2</v>
      </c>
      <c r="G493" s="44">
        <v>0</v>
      </c>
      <c r="H493" s="44" t="s">
        <v>716</v>
      </c>
      <c r="I493" s="44"/>
      <c r="K493" s="19" t="str">
        <f t="shared" si="16"/>
        <v>INSERT INTO `comm_constant` (`ID`,`CONSTANT_TYPE`,`CONSTANT_TYPE_NAME`,`CONSTANT_NAME`,`CONSTANT_VALUE`,`DEL_FLG`,`CRT_ID`,`CRT_TIME`,`UPD_ID`,`UPD_TIME`,`ACT_ID`,`ACT_TIME`,`VER`) VALUES ('489', 'InvoiceStatus', '发票申请状态', '已审核', '2', '0', 'admin', now(), 'admin', now(), 'admin', now(), 1);</v>
      </c>
    </row>
    <row r="494" spans="2:11">
      <c r="B494" s="44">
        <f t="shared" si="17"/>
        <v>490</v>
      </c>
      <c r="C494" s="44" t="s">
        <v>1106</v>
      </c>
      <c r="D494" s="44" t="s">
        <v>1107</v>
      </c>
      <c r="E494" s="44" t="s">
        <v>785</v>
      </c>
      <c r="F494" s="67">
        <v>3</v>
      </c>
      <c r="G494" s="44">
        <v>0</v>
      </c>
      <c r="H494" s="44" t="s">
        <v>716</v>
      </c>
      <c r="I494" s="44"/>
      <c r="K494" s="19" t="str">
        <f t="shared" si="16"/>
        <v>INSERT INTO `comm_constant` (`ID`,`CONSTANT_TYPE`,`CONSTANT_TYPE_NAME`,`CONSTANT_NAME`,`CONSTANT_VALUE`,`DEL_FLG`,`CRT_ID`,`CRT_TIME`,`UPD_ID`,`UPD_TIME`,`ACT_ID`,`ACT_TIME`,`VER`) VALUES ('490', 'InvoiceStatus', '发票申请状态', '已开票', '3', '0', 'admin', now(), 'admin', now(), 'admin', now(), 1);</v>
      </c>
    </row>
    <row r="495" spans="2:11">
      <c r="B495" s="44">
        <f t="shared" si="17"/>
        <v>491</v>
      </c>
      <c r="C495" s="44" t="s">
        <v>1108</v>
      </c>
      <c r="D495" s="44" t="s">
        <v>1109</v>
      </c>
      <c r="E495" s="44" t="s">
        <v>786</v>
      </c>
      <c r="F495" s="67">
        <v>4</v>
      </c>
      <c r="G495" s="44">
        <v>0</v>
      </c>
      <c r="H495" s="44" t="s">
        <v>716</v>
      </c>
      <c r="I495" s="44"/>
      <c r="K495" s="19" t="str">
        <f t="shared" si="16"/>
        <v>INSERT INTO `comm_constant` (`ID`,`CONSTANT_TYPE`,`CONSTANT_TYPE_NAME`,`CONSTANT_NAME`,`CONSTANT_VALUE`,`DEL_FLG`,`CRT_ID`,`CRT_TIME`,`UPD_ID`,`UPD_TIME`,`ACT_ID`,`ACT_TIME`,`VER`) VALUES ('491', 'InvoiceStatus', '发票申请状态', '已接收发票', '4', '0', 'admin', now(), 'admin', now(), 'admin', now(), 1);</v>
      </c>
    </row>
    <row r="496" spans="2:11">
      <c r="B496" s="44">
        <f t="shared" si="17"/>
        <v>492</v>
      </c>
      <c r="C496" s="44" t="s">
        <v>1108</v>
      </c>
      <c r="D496" s="44" t="s">
        <v>1109</v>
      </c>
      <c r="E496" s="44" t="s">
        <v>787</v>
      </c>
      <c r="F496" s="67">
        <v>5</v>
      </c>
      <c r="G496" s="44">
        <v>0</v>
      </c>
      <c r="H496" s="44" t="s">
        <v>716</v>
      </c>
      <c r="I496" s="44"/>
      <c r="K496" s="19" t="str">
        <f t="shared" si="16"/>
        <v>INSERT INTO `comm_constant` (`ID`,`CONSTANT_TYPE`,`CONSTANT_TYPE_NAME`,`CONSTANT_NAME`,`CONSTANT_VALUE`,`DEL_FLG`,`CRT_ID`,`CRT_TIME`,`UPD_ID`,`UPD_TIME`,`ACT_ID`,`ACT_TIME`,`VER`) VALUES ('492', 'InvoiceStatus', '发票申请状态', '审批未通过', '5', '0', 'admin', now(), 'admin', now(), 'admin', now(), 1);</v>
      </c>
    </row>
    <row r="497" spans="2:11">
      <c r="B497" s="44">
        <f t="shared" si="17"/>
        <v>493</v>
      </c>
      <c r="C497" s="44" t="s">
        <v>1108</v>
      </c>
      <c r="D497" s="44" t="s">
        <v>1109</v>
      </c>
      <c r="E497" s="44" t="s">
        <v>788</v>
      </c>
      <c r="F497" s="67">
        <v>6</v>
      </c>
      <c r="G497" s="44">
        <v>0</v>
      </c>
      <c r="H497" s="44" t="s">
        <v>1110</v>
      </c>
      <c r="I497" s="44"/>
      <c r="K497" s="19" t="str">
        <f t="shared" si="16"/>
        <v>INSERT INTO `comm_constant` (`ID`,`CONSTANT_TYPE`,`CONSTANT_TYPE_NAME`,`CONSTANT_NAME`,`CONSTANT_VALUE`,`DEL_FLG`,`CRT_ID`,`CRT_TIME`,`UPD_ID`,`UPD_TIME`,`ACT_ID`,`ACT_TIME`,`VER`) VALUES ('493', 'InvoiceStatus', '发票申请状态', '审核未通过', '6', '0', 'admin', now(), 'admin', now(), 'admin', now(), 1);</v>
      </c>
    </row>
    <row r="498" spans="2:11">
      <c r="B498" s="44">
        <f t="shared" si="17"/>
        <v>494</v>
      </c>
      <c r="C498" s="44" t="s">
        <v>1108</v>
      </c>
      <c r="D498" s="44" t="s">
        <v>1109</v>
      </c>
      <c r="E498" s="44" t="s">
        <v>1111</v>
      </c>
      <c r="F498" s="67">
        <v>9</v>
      </c>
      <c r="G498" s="44">
        <v>0</v>
      </c>
      <c r="H498" s="44" t="s">
        <v>1110</v>
      </c>
      <c r="I498" s="44"/>
      <c r="K498" s="19" t="str">
        <f t="shared" si="16"/>
        <v>INSERT INTO `comm_constant` (`ID`,`CONSTANT_TYPE`,`CONSTANT_TYPE_NAME`,`CONSTANT_NAME`,`CONSTANT_VALUE`,`DEL_FLG`,`CRT_ID`,`CRT_TIME`,`UPD_ID`,`UPD_TIME`,`ACT_ID`,`ACT_TIME`,`VER`) VALUES ('494', 'InvoiceStatus', '发票申请状态', '已删除', '9', '0', 'admin', now(), 'admin', now(), 'admin', now(), 1);</v>
      </c>
    </row>
    <row r="499" spans="2:11">
      <c r="B499" s="44">
        <f t="shared" si="17"/>
        <v>495</v>
      </c>
      <c r="C499" s="44" t="s">
        <v>1112</v>
      </c>
      <c r="D499" s="44" t="s">
        <v>1113</v>
      </c>
      <c r="E499" s="44" t="s">
        <v>1114</v>
      </c>
      <c r="F499" s="67">
        <v>0</v>
      </c>
      <c r="G499" s="44">
        <v>0</v>
      </c>
      <c r="H499" s="44" t="s">
        <v>1110</v>
      </c>
      <c r="I499" s="44"/>
      <c r="K499" s="19" t="str">
        <f t="shared" si="16"/>
        <v>INSERT INTO `comm_constant` (`ID`,`CONSTANT_TYPE`,`CONSTANT_TYPE_NAME`,`CONSTANT_NAME`,`CONSTANT_VALUE`,`DEL_FLG`,`CRT_ID`,`CRT_TIME`,`UPD_ID`,`UPD_TIME`,`ACT_ID`,`ACT_TIME`,`VER`) VALUES ('495', 'SscInvoiceType', '卖家采供链发票类型', '普通发票', '0', '0', 'admin', now(), 'admin', now(), 'admin', now(), 1);</v>
      </c>
    </row>
    <row r="500" spans="2:11">
      <c r="B500" s="44">
        <f t="shared" si="17"/>
        <v>496</v>
      </c>
      <c r="C500" s="44" t="s">
        <v>1112</v>
      </c>
      <c r="D500" s="44" t="s">
        <v>1113</v>
      </c>
      <c r="E500" s="44" t="s">
        <v>1115</v>
      </c>
      <c r="F500" s="67">
        <v>1</v>
      </c>
      <c r="G500" s="44">
        <v>0</v>
      </c>
      <c r="H500" s="44" t="s">
        <v>716</v>
      </c>
      <c r="I500" s="44"/>
      <c r="K500" s="19" t="str">
        <f t="shared" si="16"/>
        <v>INSERT INTO `comm_constant` (`ID`,`CONSTANT_TYPE`,`CONSTANT_TYPE_NAME`,`CONSTANT_NAME`,`CONSTANT_VALUE`,`DEL_FLG`,`CRT_ID`,`CRT_TIME`,`UPD_ID`,`UPD_TIME`,`ACT_ID`,`ACT_TIME`,`VER`) VALUES ('496', 'SscInvoiceType', '卖家采供链发票类型', '增值税专用发票', '1', '0', 'admin', now(), 'admin', now(), 'admin', now(), 1);</v>
      </c>
    </row>
    <row r="501" spans="2:11">
      <c r="B501" s="44">
        <f t="shared" si="17"/>
        <v>497</v>
      </c>
      <c r="C501" s="44" t="s">
        <v>1116</v>
      </c>
      <c r="D501" s="44" t="s">
        <v>1117</v>
      </c>
      <c r="E501" s="44" t="s">
        <v>684</v>
      </c>
      <c r="F501" s="67">
        <v>0</v>
      </c>
      <c r="G501" s="44">
        <v>0</v>
      </c>
      <c r="H501" s="44" t="s">
        <v>716</v>
      </c>
      <c r="I501" s="44"/>
      <c r="K501" s="19" t="str">
        <f t="shared" si="16"/>
        <v>INSERT INTO `comm_constant` (`ID`,`CONSTANT_TYPE`,`CONSTANT_TYPE_NAME`,`CONSTANT_NAME`,`CONSTANT_VALUE`,`DEL_FLG`,`CRT_ID`,`CRT_TIME`,`UPD_ID`,`UPD_TIME`,`ACT_ID`,`ACT_TIME`,`VER`) VALUES ('497', 'AuditingStatus', '审批状态', '未审批', '0', '0', 'admin', now(), 'admin', now(), 'admin', now(), 1);</v>
      </c>
    </row>
    <row r="502" spans="2:11">
      <c r="B502" s="44">
        <f t="shared" si="17"/>
        <v>498</v>
      </c>
      <c r="C502" s="44" t="s">
        <v>1118</v>
      </c>
      <c r="D502" s="44" t="s">
        <v>1119</v>
      </c>
      <c r="E502" s="44" t="s">
        <v>789</v>
      </c>
      <c r="F502" s="67">
        <v>1</v>
      </c>
      <c r="G502" s="44">
        <v>0</v>
      </c>
      <c r="H502" s="44" t="s">
        <v>716</v>
      </c>
      <c r="I502" s="44"/>
      <c r="K502" s="19" t="str">
        <f t="shared" si="16"/>
        <v>INSERT INTO `comm_constant` (`ID`,`CONSTANT_TYPE`,`CONSTANT_TYPE_NAME`,`CONSTANT_NAME`,`CONSTANT_VALUE`,`DEL_FLG`,`CRT_ID`,`CRT_TIME`,`UPD_ID`,`UPD_TIME`,`ACT_ID`,`ACT_TIME`,`VER`) VALUES ('498', 'AuditingStatus', '审批状态', '未审核', '1', '0', 'admin', now(), 'admin', now(), 'admin', now(), 1);</v>
      </c>
    </row>
    <row r="503" spans="2:11">
      <c r="B503" s="44">
        <f t="shared" si="17"/>
        <v>499</v>
      </c>
      <c r="C503" s="44" t="s">
        <v>1120</v>
      </c>
      <c r="D503" s="44" t="s">
        <v>1121</v>
      </c>
      <c r="E503" s="44" t="s">
        <v>161</v>
      </c>
      <c r="F503" s="67">
        <v>2</v>
      </c>
      <c r="G503" s="44">
        <v>0</v>
      </c>
      <c r="H503" s="44" t="s">
        <v>716</v>
      </c>
      <c r="I503" s="44"/>
      <c r="K503" s="19" t="str">
        <f t="shared" si="16"/>
        <v>INSERT INTO `comm_constant` (`ID`,`CONSTANT_TYPE`,`CONSTANT_TYPE_NAME`,`CONSTANT_NAME`,`CONSTANT_VALUE`,`DEL_FLG`,`CRT_ID`,`CRT_TIME`,`UPD_ID`,`UPD_TIME`,`ACT_ID`,`ACT_TIME`,`VER`) VALUES ('499', 'AuditingStatus', '审批状态', '已审核', '2', '0', 'admin', now(), 'admin', now(), 'admin', now(), 1);</v>
      </c>
    </row>
    <row r="504" spans="2:11">
      <c r="B504" s="44">
        <f t="shared" si="17"/>
        <v>500</v>
      </c>
      <c r="C504" s="44" t="s">
        <v>1120</v>
      </c>
      <c r="D504" s="44" t="s">
        <v>1121</v>
      </c>
      <c r="E504" s="44" t="s">
        <v>787</v>
      </c>
      <c r="F504" s="67">
        <v>3</v>
      </c>
      <c r="G504" s="44">
        <v>0</v>
      </c>
      <c r="H504" s="44" t="s">
        <v>716</v>
      </c>
      <c r="I504" s="44"/>
      <c r="K504" s="19" t="str">
        <f t="shared" si="16"/>
        <v>INSERT INTO `comm_constant` (`ID`,`CONSTANT_TYPE`,`CONSTANT_TYPE_NAME`,`CONSTANT_NAME`,`CONSTANT_VALUE`,`DEL_FLG`,`CRT_ID`,`CRT_TIME`,`UPD_ID`,`UPD_TIME`,`ACT_ID`,`ACT_TIME`,`VER`) VALUES ('500', 'AuditingStatus', '审批状态', '审批未通过', '3', '0', 'admin', now(), 'admin', now(), 'admin', now(), 1);</v>
      </c>
    </row>
    <row r="505" spans="2:11">
      <c r="B505" s="44">
        <f t="shared" si="17"/>
        <v>501</v>
      </c>
      <c r="C505" s="44" t="s">
        <v>1120</v>
      </c>
      <c r="D505" s="44" t="s">
        <v>1121</v>
      </c>
      <c r="E505" s="44" t="s">
        <v>788</v>
      </c>
      <c r="F505" s="67">
        <v>4</v>
      </c>
      <c r="G505" s="44">
        <v>0</v>
      </c>
      <c r="H505" s="44" t="s">
        <v>716</v>
      </c>
      <c r="I505" s="44"/>
      <c r="K505" s="19" t="str">
        <f t="shared" si="16"/>
        <v>INSERT INTO `comm_constant` (`ID`,`CONSTANT_TYPE`,`CONSTANT_TYPE_NAME`,`CONSTANT_NAME`,`CONSTANT_VALUE`,`DEL_FLG`,`CRT_ID`,`CRT_TIME`,`UPD_ID`,`UPD_TIME`,`ACT_ID`,`ACT_TIME`,`VER`) VALUES ('501', 'AuditingStatus', '审批状态', '审核未通过', '4', '0', 'admin', now(), 'admin', now(), 'admin', now(), 1);</v>
      </c>
    </row>
    <row r="506" spans="2:11">
      <c r="B506" s="44">
        <f t="shared" si="17"/>
        <v>502</v>
      </c>
      <c r="C506" s="44" t="s">
        <v>1122</v>
      </c>
      <c r="D506" s="44" t="s">
        <v>1123</v>
      </c>
      <c r="E506" s="44" t="s">
        <v>464</v>
      </c>
      <c r="F506" s="67">
        <v>0</v>
      </c>
      <c r="G506" s="44">
        <v>0</v>
      </c>
      <c r="H506" s="44" t="s">
        <v>716</v>
      </c>
      <c r="I506" s="44"/>
      <c r="K506" s="19" t="str">
        <f t="shared" si="16"/>
        <v>INSERT INTO `comm_constant` (`ID`,`CONSTANT_TYPE`,`CONSTANT_TYPE_NAME`,`CONSTANT_NAME`,`CONSTANT_VALUE`,`DEL_FLG`,`CRT_ID`,`CRT_TIME`,`UPD_ID`,`UPD_TIME`,`ACT_ID`,`ACT_TIME`,`VER`) VALUES ('502', 'VerificationAuditStatus', '确认审批状态', '未确认', '0', '0', 'admin', now(), 'admin', now(), 'admin', now(), 1);</v>
      </c>
    </row>
    <row r="507" spans="2:11">
      <c r="B507" s="44">
        <f t="shared" si="17"/>
        <v>503</v>
      </c>
      <c r="C507" s="44" t="s">
        <v>1124</v>
      </c>
      <c r="D507" s="44" t="s">
        <v>1125</v>
      </c>
      <c r="E507" s="44" t="s">
        <v>790</v>
      </c>
      <c r="F507" s="67">
        <v>1</v>
      </c>
      <c r="G507" s="44">
        <v>0</v>
      </c>
      <c r="H507" s="44" t="s">
        <v>716</v>
      </c>
      <c r="I507" s="44"/>
      <c r="K507" s="19" t="str">
        <f t="shared" si="16"/>
        <v>INSERT INTO `comm_constant` (`ID`,`CONSTANT_TYPE`,`CONSTANT_TYPE_NAME`,`CONSTANT_NAME`,`CONSTANT_VALUE`,`DEL_FLG`,`CRT_ID`,`CRT_TIME`,`UPD_ID`,`UPD_TIME`,`ACT_ID`,`ACT_TIME`,`VER`) VALUES ('503', 'VerificationAuditStatus', '确认审批状态', '甲方已确认', '1', '0', 'admin', now(), 'admin', now(), 'admin', now(), 1);</v>
      </c>
    </row>
    <row r="508" spans="2:11">
      <c r="B508" s="44">
        <f t="shared" si="17"/>
        <v>504</v>
      </c>
      <c r="C508" s="44" t="s">
        <v>1124</v>
      </c>
      <c r="D508" s="44" t="s">
        <v>1125</v>
      </c>
      <c r="E508" s="44" t="s">
        <v>791</v>
      </c>
      <c r="F508" s="67">
        <v>2</v>
      </c>
      <c r="G508" s="44">
        <v>0</v>
      </c>
      <c r="H508" s="44" t="s">
        <v>716</v>
      </c>
      <c r="I508" s="44"/>
      <c r="K508" s="19" t="str">
        <f t="shared" si="16"/>
        <v>INSERT INTO `comm_constant` (`ID`,`CONSTANT_TYPE`,`CONSTANT_TYPE_NAME`,`CONSTANT_NAME`,`CONSTANT_VALUE`,`DEL_FLG`,`CRT_ID`,`CRT_TIME`,`UPD_ID`,`UPD_TIME`,`ACT_ID`,`ACT_TIME`,`VER`) VALUES ('504', 'VerificationAuditStatus', '确认审批状态', '乙方已确认', '2', '0', 'admin', now(), 'admin', now(), 'admin', now(), 1);</v>
      </c>
    </row>
    <row r="509" spans="2:11">
      <c r="B509" s="44">
        <f t="shared" si="17"/>
        <v>505</v>
      </c>
      <c r="C509" s="44" t="s">
        <v>1124</v>
      </c>
      <c r="D509" s="44" t="s">
        <v>1125</v>
      </c>
      <c r="E509" s="44" t="s">
        <v>745</v>
      </c>
      <c r="F509" s="67">
        <v>3</v>
      </c>
      <c r="G509" s="44">
        <v>0</v>
      </c>
      <c r="H509" s="44" t="s">
        <v>716</v>
      </c>
      <c r="I509" s="44"/>
      <c r="K509" s="19" t="str">
        <f t="shared" si="16"/>
        <v>INSERT INTO `comm_constant` (`ID`,`CONSTANT_TYPE`,`CONSTANT_TYPE_NAME`,`CONSTANT_NAME`,`CONSTANT_VALUE`,`DEL_FLG`,`CRT_ID`,`CRT_TIME`,`UPD_ID`,`UPD_TIME`,`ACT_ID`,`ACT_TIME`,`VER`) VALUES ('505', 'VerificationAuditStatus', '确认审批状态', '双方已确认', '3', '0', 'admin', now(), 'admin', now(), 'admin', now(), 1);</v>
      </c>
    </row>
    <row r="510" spans="2:11">
      <c r="B510" s="44">
        <f t="shared" si="17"/>
        <v>506</v>
      </c>
      <c r="C510" s="44" t="s">
        <v>841</v>
      </c>
      <c r="D510" s="44" t="s">
        <v>842</v>
      </c>
      <c r="E510" s="44" t="s">
        <v>843</v>
      </c>
      <c r="F510" s="67">
        <v>1</v>
      </c>
      <c r="G510" s="44">
        <v>0</v>
      </c>
      <c r="H510" s="44" t="s">
        <v>716</v>
      </c>
      <c r="I510" s="44"/>
      <c r="K510" s="19" t="str">
        <f t="shared" si="16"/>
        <v>INSERT INTO `comm_constant` (`ID`,`CONSTANT_TYPE`,`CONSTANT_TYPE_NAME`,`CONSTANT_NAME`,`CONSTANT_VALUE`,`DEL_FLG`,`CRT_ID`,`CRT_TIME`,`UPD_ID`,`UPD_TIME`,`ACT_ID`,`ACT_TIME`,`VER`) VALUES ('506', 'FreightSettleMethod', '运费结算方式', '到岸价', '1', '0', 'admin', now(), 'admin', now(), 'admin', now(), 1);</v>
      </c>
    </row>
    <row r="511" spans="2:11">
      <c r="B511" s="44">
        <f t="shared" si="17"/>
        <v>507</v>
      </c>
      <c r="C511" s="44" t="s">
        <v>841</v>
      </c>
      <c r="D511" s="44" t="s">
        <v>842</v>
      </c>
      <c r="E511" s="44" t="s">
        <v>844</v>
      </c>
      <c r="F511" s="67">
        <v>2</v>
      </c>
      <c r="G511" s="44">
        <v>0</v>
      </c>
      <c r="H511" s="44" t="s">
        <v>716</v>
      </c>
      <c r="I511" s="44"/>
      <c r="K511" s="19" t="str">
        <f t="shared" si="16"/>
        <v>INSERT INTO `comm_constant` (`ID`,`CONSTANT_TYPE`,`CONSTANT_TYPE_NAME`,`CONSTANT_NAME`,`CONSTANT_VALUE`,`DEL_FLG`,`CRT_ID`,`CRT_TIME`,`UPD_ID`,`UPD_TIME`,`ACT_ID`,`ACT_TIME`,`VER`) VALUES ('507', 'FreightSettleMethod', '运费结算方式', '离岸价价内结算', '2', '0', 'admin', now(), 'admin', now(), 'admin', now(), 1);</v>
      </c>
    </row>
    <row r="512" spans="2:11">
      <c r="B512" s="44">
        <f t="shared" si="17"/>
        <v>508</v>
      </c>
      <c r="C512" s="44" t="s">
        <v>841</v>
      </c>
      <c r="D512" s="44" t="s">
        <v>842</v>
      </c>
      <c r="E512" s="44" t="s">
        <v>845</v>
      </c>
      <c r="F512" s="67">
        <v>3</v>
      </c>
      <c r="G512" s="44">
        <v>0</v>
      </c>
      <c r="H512" s="44" t="s">
        <v>716</v>
      </c>
      <c r="I512" s="44"/>
      <c r="K512" s="19" t="str">
        <f t="shared" si="16"/>
        <v>INSERT INTO `comm_constant` (`ID`,`CONSTANT_TYPE`,`CONSTANT_TYPE_NAME`,`CONSTANT_NAME`,`CONSTANT_VALUE`,`DEL_FLG`,`CRT_ID`,`CRT_TIME`,`UPD_ID`,`UPD_TIME`,`ACT_ID`,`ACT_TIME`,`VER`) VALUES ('508', 'FreightSettleMethod', '运费结算方式', '离岸价价外代付结算', '3', '0', 'admin', now(), 'admin', now(), 'admin', now(), 1);</v>
      </c>
    </row>
    <row r="513" spans="2:11">
      <c r="B513" s="44">
        <f t="shared" si="17"/>
        <v>509</v>
      </c>
      <c r="C513" s="44" t="s">
        <v>841</v>
      </c>
      <c r="D513" s="44" t="s">
        <v>842</v>
      </c>
      <c r="E513" s="44" t="s">
        <v>846</v>
      </c>
      <c r="F513" s="67">
        <v>4</v>
      </c>
      <c r="G513" s="44">
        <v>0</v>
      </c>
      <c r="H513" s="44" t="s">
        <v>716</v>
      </c>
      <c r="I513" s="44"/>
      <c r="K513" s="19" t="str">
        <f t="shared" si="16"/>
        <v>INSERT INTO `comm_constant` (`ID`,`CONSTANT_TYPE`,`CONSTANT_TYPE_NAME`,`CONSTANT_NAME`,`CONSTANT_VALUE`,`DEL_FLG`,`CRT_ID`,`CRT_TIME`,`UPD_ID`,`UPD_TIME`,`ACT_ID`,`ACT_TIME`,`VER`) VALUES ('509', 'FreightSettleMethod', '运费结算方式', '独立第三方支付', '4', '0', 'admin', now(), 'admin', now(), 'admin', now(), 1);</v>
      </c>
    </row>
    <row r="514" spans="2:11">
      <c r="B514" s="44">
        <f t="shared" si="17"/>
        <v>510</v>
      </c>
      <c r="C514" s="44" t="s">
        <v>1126</v>
      </c>
      <c r="D514" s="44" t="s">
        <v>848</v>
      </c>
      <c r="E514" s="44" t="s">
        <v>849</v>
      </c>
      <c r="F514" s="67">
        <v>0</v>
      </c>
      <c r="G514" s="44">
        <v>0</v>
      </c>
      <c r="H514" s="44" t="s">
        <v>716</v>
      </c>
      <c r="I514" s="44"/>
      <c r="K514" s="19" t="str">
        <f t="shared" si="16"/>
        <v>INSERT INTO `comm_constant` (`ID`,`CONSTANT_TYPE`,`CONSTANT_TYPE_NAME`,`CONSTANT_NAME`,`CONSTANT_VALUE`,`DEL_FLG`,`CRT_ID`,`CRT_TIME`,`UPD_ID`,`UPD_TIME`,`ACT_ID`,`ACT_TIME`,`VER`) VALUES ('510', 'Subject', '付款科目', '货款', '0', '0', 'admin', now(), 'admin', now(), 'admin', now(), 1);</v>
      </c>
    </row>
    <row r="515" spans="2:11">
      <c r="B515" s="44">
        <f t="shared" si="17"/>
        <v>511</v>
      </c>
      <c r="C515" s="44" t="s">
        <v>847</v>
      </c>
      <c r="D515" s="44" t="s">
        <v>848</v>
      </c>
      <c r="E515" s="44" t="s">
        <v>850</v>
      </c>
      <c r="F515" s="67">
        <v>1</v>
      </c>
      <c r="G515" s="44">
        <v>0</v>
      </c>
      <c r="H515" s="44" t="s">
        <v>716</v>
      </c>
      <c r="I515" s="44"/>
      <c r="K515" s="19" t="str">
        <f t="shared" si="16"/>
        <v>INSERT INTO `comm_constant` (`ID`,`CONSTANT_TYPE`,`CONSTANT_TYPE_NAME`,`CONSTANT_NAME`,`CONSTANT_VALUE`,`DEL_FLG`,`CRT_ID`,`CRT_TIME`,`UPD_ID`,`UPD_TIME`,`ACT_ID`,`ACT_TIME`,`VER`) VALUES ('511', 'Subject', '付款科目', '运费', '1', '0', 'admin', now(), 'admin', now(), 'admin', now(), 1);</v>
      </c>
    </row>
    <row r="516" spans="2:11">
      <c r="B516" s="44">
        <f t="shared" si="17"/>
        <v>512</v>
      </c>
      <c r="C516" s="44" t="s">
        <v>1127</v>
      </c>
      <c r="D516" s="44" t="s">
        <v>1128</v>
      </c>
      <c r="E516" s="44" t="s">
        <v>1129</v>
      </c>
      <c r="F516" s="67">
        <v>0</v>
      </c>
      <c r="G516" s="44">
        <v>0</v>
      </c>
      <c r="H516" s="44" t="s">
        <v>716</v>
      </c>
      <c r="I516" s="44"/>
      <c r="K516" s="19" t="str">
        <f t="shared" si="16"/>
        <v>INSERT INTO `comm_constant` (`ID`,`CONSTANT_TYPE`,`CONSTANT_TYPE_NAME`,`CONSTANT_NAME`,`CONSTANT_VALUE`,`DEL_FLG`,`CRT_ID`,`CRT_TIME`,`UPD_ID`,`UPD_TIME`,`ACT_ID`,`ACT_TIME`,`VER`) VALUES ('512', 'RelationType', '关联状态', '正常', '0', '0', 'admin', now(), 'admin', now(), 'admin', now(), 1);</v>
      </c>
    </row>
    <row r="517" spans="2:11">
      <c r="B517" s="44">
        <f t="shared" si="17"/>
        <v>513</v>
      </c>
      <c r="C517" s="44" t="s">
        <v>1127</v>
      </c>
      <c r="D517" s="44" t="s">
        <v>1128</v>
      </c>
      <c r="E517" s="44" t="s">
        <v>1130</v>
      </c>
      <c r="F517" s="67">
        <v>1</v>
      </c>
      <c r="G517" s="44">
        <v>0</v>
      </c>
      <c r="H517" s="44" t="s">
        <v>716</v>
      </c>
      <c r="I517" s="44"/>
      <c r="K517" s="19" t="str">
        <f t="shared" si="16"/>
        <v>INSERT INTO `comm_constant` (`ID`,`CONSTANT_TYPE`,`CONSTANT_TYPE_NAME`,`CONSTANT_NAME`,`CONSTANT_VALUE`,`DEL_FLG`,`CRT_ID`,`CRT_TIME`,`UPD_ID`,`UPD_TIME`,`ACT_ID`,`ACT_TIME`,`VER`) VALUES ('513', 'RelationType', '关联状态', '已关联', '1', '0', 'admin', now(), 'admin', now(), 'admin', now(), 1);</v>
      </c>
    </row>
    <row r="518" spans="2:11">
      <c r="B518" s="44">
        <f t="shared" si="17"/>
        <v>514</v>
      </c>
      <c r="C518" s="44" t="s">
        <v>1127</v>
      </c>
      <c r="D518" s="44" t="s">
        <v>1128</v>
      </c>
      <c r="E518" s="44" t="s">
        <v>1131</v>
      </c>
      <c r="F518" s="67">
        <v>2</v>
      </c>
      <c r="G518" s="44">
        <v>0</v>
      </c>
      <c r="H518" s="44" t="s">
        <v>716</v>
      </c>
      <c r="I518" s="44"/>
      <c r="K518" s="19" t="str">
        <f t="shared" si="16"/>
        <v>INSERT INTO `comm_constant` (`ID`,`CONSTANT_TYPE`,`CONSTANT_TYPE_NAME`,`CONSTANT_NAME`,`CONSTANT_VALUE`,`DEL_FLG`,`CRT_ID`,`CRT_TIME`,`UPD_ID`,`UPD_TIME`,`ACT_ID`,`ACT_TIME`,`VER`) VALUES ('514', 'RelationType', '关联状态', '未关联', '2', '0', 'admin', now(), 'admin', now(), 'admin', now(), 1);</v>
      </c>
    </row>
    <row r="519" spans="2:11">
      <c r="B519" s="44">
        <f t="shared" si="17"/>
        <v>515</v>
      </c>
      <c r="C519" s="70" t="s">
        <v>1132</v>
      </c>
      <c r="D519" s="71" t="s">
        <v>1133</v>
      </c>
      <c r="E519" s="71" t="s">
        <v>1134</v>
      </c>
      <c r="F519" s="73">
        <v>0</v>
      </c>
      <c r="G519" s="71">
        <v>0</v>
      </c>
      <c r="H519" s="44" t="s">
        <v>716</v>
      </c>
      <c r="I519" s="68"/>
      <c r="K519" s="19" t="str">
        <f t="shared" si="16"/>
        <v>INSERT INTO `comm_constant` (`ID`,`CONSTANT_TYPE`,`CONSTANT_TYPE_NAME`,`CONSTANT_NAME`,`CONSTANT_VALUE`,`DEL_FLG`,`CRT_ID`,`CRT_TIME`,`UPD_ID`,`UPD_TIME`,`ACT_ID`,`ACT_TIME`,`VER`) VALUES ('515', 'SscEpMainClass', '企业主分类', '生产型', '0', '0', 'admin', now(), 'admin', now(), 'admin', now(), 1);</v>
      </c>
    </row>
    <row r="520" spans="2:11">
      <c r="B520" s="44">
        <f t="shared" si="17"/>
        <v>516</v>
      </c>
      <c r="C520" s="70" t="s">
        <v>1132</v>
      </c>
      <c r="D520" s="71" t="s">
        <v>1133</v>
      </c>
      <c r="E520" s="71" t="s">
        <v>1135</v>
      </c>
      <c r="F520" s="73">
        <v>1</v>
      </c>
      <c r="G520" s="71">
        <v>0</v>
      </c>
      <c r="H520" s="44" t="s">
        <v>716</v>
      </c>
      <c r="I520" s="68"/>
      <c r="K520" s="19" t="str">
        <f t="shared" si="16"/>
        <v>INSERT INTO `comm_constant` (`ID`,`CONSTANT_TYPE`,`CONSTANT_TYPE_NAME`,`CONSTANT_NAME`,`CONSTANT_VALUE`,`DEL_FLG`,`CRT_ID`,`CRT_TIME`,`UPD_ID`,`UPD_TIME`,`ACT_ID`,`ACT_TIME`,`VER`) VALUES ('516', 'SscEpMainClass', '企业主分类', '自产型', '1', '0', 'admin', now(), 'admin', now(), 'admin', now(), 1);</v>
      </c>
    </row>
    <row r="521" spans="2:11">
      <c r="B521" s="44">
        <f t="shared" si="17"/>
        <v>517</v>
      </c>
      <c r="C521" s="70" t="s">
        <v>1132</v>
      </c>
      <c r="D521" s="71" t="s">
        <v>1133</v>
      </c>
      <c r="E521" s="71" t="s">
        <v>1136</v>
      </c>
      <c r="F521" s="73">
        <v>2</v>
      </c>
      <c r="G521" s="71">
        <v>0</v>
      </c>
      <c r="H521" s="44" t="s">
        <v>716</v>
      </c>
      <c r="I521" s="68"/>
      <c r="K521" s="19" t="str">
        <f t="shared" si="16"/>
        <v>INSERT INTO `comm_constant` (`ID`,`CONSTANT_TYPE`,`CONSTANT_TYPE_NAME`,`CONSTANT_NAME`,`CONSTANT_VALUE`,`DEL_FLG`,`CRT_ID`,`CRT_TIME`,`UPD_ID`,`UPD_TIME`,`ACT_ID`,`ACT_TIME`,`VER`) VALUES ('517', 'SscEpMainClass', '企业主分类', '代理型', '2', '0', 'admin', now(), 'admin', now(), 'admin', now(), 1);</v>
      </c>
    </row>
    <row r="522" spans="2:11">
      <c r="B522" s="44">
        <f t="shared" si="17"/>
        <v>518</v>
      </c>
      <c r="C522" s="70" t="s">
        <v>1132</v>
      </c>
      <c r="D522" s="71" t="s">
        <v>1133</v>
      </c>
      <c r="E522" s="71" t="s">
        <v>1137</v>
      </c>
      <c r="F522" s="73">
        <v>3</v>
      </c>
      <c r="G522" s="71">
        <v>0</v>
      </c>
      <c r="H522" s="44" t="s">
        <v>716</v>
      </c>
      <c r="I522" s="68"/>
      <c r="K522" s="19" t="str">
        <f t="shared" si="16"/>
        <v>INSERT INTO `comm_constant` (`ID`,`CONSTANT_TYPE`,`CONSTANT_TYPE_NAME`,`CONSTANT_NAME`,`CONSTANT_VALUE`,`DEL_FLG`,`CRT_ID`,`CRT_TIME`,`UPD_ID`,`UPD_TIME`,`ACT_ID`,`ACT_TIME`,`VER`) VALUES ('518', 'SscEpMainClass', '企业主分类', 'OEM型', '3', '0', 'admin', now(), 'admin', now(), 'admin', now(), 1);</v>
      </c>
    </row>
    <row r="523" spans="2:11">
      <c r="B523" s="44">
        <f t="shared" si="17"/>
        <v>519</v>
      </c>
      <c r="C523" s="44" t="s">
        <v>1138</v>
      </c>
      <c r="D523" s="44" t="s">
        <v>1139</v>
      </c>
      <c r="E523" s="44" t="s">
        <v>1140</v>
      </c>
      <c r="F523" s="67">
        <v>1</v>
      </c>
      <c r="G523" s="44">
        <v>0</v>
      </c>
      <c r="H523" s="44" t="s">
        <v>1140</v>
      </c>
      <c r="I523" s="44"/>
      <c r="K523" s="19" t="str">
        <f t="shared" ref="K523:K590" si="18">"INSERT INTO `comm_constant` (`ID`,`CONSTANT_TYPE`,`CONSTANT_TYPE_NAME`,`CONSTANT_NAME`,`CONSTANT_VALUE`,`DEL_FLG`,`CRT_ID`,`CRT_TIME`,`UPD_ID`,`UPD_TIME`,`ACT_ID`,`ACT_TIME`,`VER`) VALUES ("&amp;IF(B523="","NULL","'"&amp;B523&amp;"'")&amp;", "&amp;IF(C523="","NULL","'"&amp;C523&amp;"'")&amp;", "&amp;IF(D523="","NULL","'"&amp;D523&amp;"'")&amp;", "&amp;IF(E523="","NULL","'"&amp;E523&amp;"'")&amp;", "&amp;IF(F523="","NULL","'"&amp;F523&amp;"'")&amp;", "&amp;IF(G523="","NULL","'"&amp;G523&amp;"'")&amp;", 'admin', now(), 'admin', now(), 'admin', now(), 1);"</f>
        <v>INSERT INTO `comm_constant` (`ID`,`CONSTANT_TYPE`,`CONSTANT_TYPE_NAME`,`CONSTANT_NAME`,`CONSTANT_VALUE`,`DEL_FLG`,`CRT_ID`,`CRT_TIME`,`UPD_ID`,`UPD_TIME`,`ACT_ID`,`ACT_TIME`,`VER`) VALUES ('519', 'SourceFlg', '发货入库单来源标识', '平台供应链', '1', '0', 'admin', now(), 'admin', now(), 'admin', now(), 1);</v>
      </c>
    </row>
    <row r="524" spans="2:11">
      <c r="B524" s="44">
        <f t="shared" si="17"/>
        <v>520</v>
      </c>
      <c r="C524" s="44" t="s">
        <v>1138</v>
      </c>
      <c r="D524" s="44" t="s">
        <v>1139</v>
      </c>
      <c r="E524" s="44" t="s">
        <v>1141</v>
      </c>
      <c r="F524" s="67">
        <v>2</v>
      </c>
      <c r="G524" s="44">
        <v>0</v>
      </c>
      <c r="H524" s="44" t="s">
        <v>1140</v>
      </c>
      <c r="I524" s="44"/>
      <c r="K524" s="19" t="str">
        <f t="shared" si="18"/>
        <v>INSERT INTO `comm_constant` (`ID`,`CONSTANT_TYPE`,`CONSTANT_TYPE_NAME`,`CONSTANT_NAME`,`CONSTANT_VALUE`,`DEL_FLG`,`CRT_ID`,`CRT_TIME`,`UPD_ID`,`UPD_TIME`,`ACT_ID`,`ACT_TIME`,`VER`) VALUES ('520', 'SourceFlg', '发货入库单来源标识', '卖家采供链', '2', '0', 'admin', now(), 'admin', now(), 'admin', now(), 1);</v>
      </c>
    </row>
    <row r="525" spans="2:11" s="16" customFormat="1">
      <c r="B525" s="69">
        <f t="shared" si="8"/>
        <v>521</v>
      </c>
      <c r="C525" s="71" t="s">
        <v>454</v>
      </c>
      <c r="D525" s="71" t="s">
        <v>455</v>
      </c>
      <c r="E525" s="71" t="s">
        <v>456</v>
      </c>
      <c r="F525" s="73">
        <v>0</v>
      </c>
      <c r="G525" s="71">
        <v>0</v>
      </c>
      <c r="H525" s="44" t="s">
        <v>457</v>
      </c>
      <c r="I525" s="78" t="s">
        <v>455</v>
      </c>
      <c r="K525" s="19" t="str">
        <f t="shared" si="18"/>
        <v>INSERT INTO `comm_constant` (`ID`,`CONSTANT_TYPE`,`CONSTANT_TYPE_NAME`,`CONSTANT_NAME`,`CONSTANT_VALUE`,`DEL_FLG`,`CRT_ID`,`CRT_TIME`,`UPD_ID`,`UPD_TIME`,`ACT_ID`,`ACT_TIME`,`VER`) VALUES ('521', 'DemandApplyStatus', '中标状态', '未投标', '0', '0', 'admin', now(), 'admin', now(), 'admin', now(), 1);</v>
      </c>
    </row>
    <row r="526" spans="2:11">
      <c r="B526" s="44">
        <f t="shared" si="8"/>
        <v>522</v>
      </c>
      <c r="C526" s="71" t="s">
        <v>454</v>
      </c>
      <c r="D526" s="71" t="s">
        <v>455</v>
      </c>
      <c r="E526" s="71" t="s">
        <v>458</v>
      </c>
      <c r="F526" s="73">
        <v>1</v>
      </c>
      <c r="G526" s="71">
        <v>0</v>
      </c>
      <c r="H526" s="44" t="s">
        <v>457</v>
      </c>
      <c r="I526" s="78" t="s">
        <v>455</v>
      </c>
      <c r="K526" s="19" t="str">
        <f t="shared" si="18"/>
        <v>INSERT INTO `comm_constant` (`ID`,`CONSTANT_TYPE`,`CONSTANT_TYPE_NAME`,`CONSTANT_NAME`,`CONSTANT_VALUE`,`DEL_FLG`,`CRT_ID`,`CRT_TIME`,`UPD_ID`,`UPD_TIME`,`ACT_ID`,`ACT_TIME`,`VER`) VALUES ('522', 'DemandApplyStatus', '中标状态', '未中标', '1', '0', 'admin', now(), 'admin', now(), 'admin', now(), 1);</v>
      </c>
    </row>
    <row r="527" spans="2:11">
      <c r="B527" s="44">
        <f t="shared" si="8"/>
        <v>523</v>
      </c>
      <c r="C527" s="71" t="s">
        <v>454</v>
      </c>
      <c r="D527" s="71" t="s">
        <v>455</v>
      </c>
      <c r="E527" s="71" t="s">
        <v>459</v>
      </c>
      <c r="F527" s="73">
        <v>2</v>
      </c>
      <c r="G527" s="71">
        <v>0</v>
      </c>
      <c r="H527" s="44" t="s">
        <v>457</v>
      </c>
      <c r="I527" s="78" t="s">
        <v>455</v>
      </c>
      <c r="K527" s="19" t="str">
        <f t="shared" si="18"/>
        <v>INSERT INTO `comm_constant` (`ID`,`CONSTANT_TYPE`,`CONSTANT_TYPE_NAME`,`CONSTANT_NAME`,`CONSTANT_VALUE`,`DEL_FLG`,`CRT_ID`,`CRT_TIME`,`UPD_ID`,`UPD_TIME`,`ACT_ID`,`ACT_TIME`,`VER`) VALUES ('523', 'DemandApplyStatus', '中标状态', '驳回', '2', '0', 'admin', now(), 'admin', now(), 'admin', now(), 1);</v>
      </c>
    </row>
    <row r="528" spans="2:11">
      <c r="B528" s="44">
        <f t="shared" si="8"/>
        <v>524</v>
      </c>
      <c r="C528" s="78" t="s">
        <v>454</v>
      </c>
      <c r="D528" s="78" t="s">
        <v>455</v>
      </c>
      <c r="E528" s="68" t="s">
        <v>460</v>
      </c>
      <c r="F528" s="74">
        <v>3</v>
      </c>
      <c r="G528" s="68">
        <v>0</v>
      </c>
      <c r="H528" s="69" t="s">
        <v>457</v>
      </c>
      <c r="I528" s="78" t="s">
        <v>455</v>
      </c>
      <c r="K528" s="19" t="str">
        <f t="shared" si="18"/>
        <v>INSERT INTO `comm_constant` (`ID`,`CONSTANT_TYPE`,`CONSTANT_TYPE_NAME`,`CONSTANT_NAME`,`CONSTANT_VALUE`,`DEL_FLG`,`CRT_ID`,`CRT_TIME`,`UPD_ID`,`UPD_TIME`,`ACT_ID`,`ACT_TIME`,`VER`) VALUES ('524', 'DemandApplyStatus', '中标状态', '已中标', '3', '0', 'admin', now(), 'admin', now(), 'admin', now(), 1);</v>
      </c>
    </row>
    <row r="529" spans="2:11">
      <c r="B529" s="44">
        <f t="shared" si="2"/>
        <v>525</v>
      </c>
      <c r="C529" s="68" t="s">
        <v>461</v>
      </c>
      <c r="D529" s="68" t="s">
        <v>462</v>
      </c>
      <c r="E529" s="68" t="s">
        <v>463</v>
      </c>
      <c r="F529" s="74">
        <v>0</v>
      </c>
      <c r="G529" s="68">
        <v>0</v>
      </c>
      <c r="H529" s="69" t="s">
        <v>457</v>
      </c>
      <c r="I529" s="68" t="s">
        <v>462</v>
      </c>
      <c r="K529" s="19" t="str">
        <f t="shared" si="18"/>
        <v>INSERT INTO `comm_constant` (`ID`,`CONSTANT_TYPE`,`CONSTANT_TYPE_NAME`,`CONSTANT_NAME`,`CONSTANT_VALUE`,`DEL_FLG`,`CRT_ID`,`CRT_TIME`,`UPD_ID`,`UPD_TIME`,`ACT_ID`,`ACT_TIME`,`VER`) VALUES ('525', 'IsConfirm', '是否确认', '未申报', '0', '0', 'admin', now(), 'admin', now(), 'admin', now(), 1);</v>
      </c>
    </row>
    <row r="530" spans="2:11">
      <c r="B530" s="44">
        <f t="shared" si="2"/>
        <v>526</v>
      </c>
      <c r="C530" s="68" t="s">
        <v>461</v>
      </c>
      <c r="D530" s="68" t="s">
        <v>462</v>
      </c>
      <c r="E530" s="68" t="s">
        <v>464</v>
      </c>
      <c r="F530" s="74">
        <v>1</v>
      </c>
      <c r="G530" s="68">
        <v>0</v>
      </c>
      <c r="H530" s="69" t="s">
        <v>457</v>
      </c>
      <c r="I530" s="68" t="s">
        <v>462</v>
      </c>
      <c r="K530" s="19" t="str">
        <f t="shared" si="18"/>
        <v>INSERT INTO `comm_constant` (`ID`,`CONSTANT_TYPE`,`CONSTANT_TYPE_NAME`,`CONSTANT_NAME`,`CONSTANT_VALUE`,`DEL_FLG`,`CRT_ID`,`CRT_TIME`,`UPD_ID`,`UPD_TIME`,`ACT_ID`,`ACT_TIME`,`VER`) VALUES ('526', 'IsConfirm', '是否确认', '未确认', '1', '0', 'admin', now(), 'admin', now(), 'admin', now(), 1);</v>
      </c>
    </row>
    <row r="531" spans="2:11">
      <c r="B531" s="44">
        <f t="shared" si="2"/>
        <v>527</v>
      </c>
      <c r="C531" s="68" t="s">
        <v>461</v>
      </c>
      <c r="D531" s="68" t="s">
        <v>462</v>
      </c>
      <c r="E531" s="68" t="s">
        <v>459</v>
      </c>
      <c r="F531" s="74">
        <v>2</v>
      </c>
      <c r="G531" s="68">
        <v>0</v>
      </c>
      <c r="H531" s="69" t="s">
        <v>457</v>
      </c>
      <c r="I531" s="68" t="s">
        <v>462</v>
      </c>
      <c r="K531" s="19" t="str">
        <f t="shared" si="18"/>
        <v>INSERT INTO `comm_constant` (`ID`,`CONSTANT_TYPE`,`CONSTANT_TYPE_NAME`,`CONSTANT_NAME`,`CONSTANT_VALUE`,`DEL_FLG`,`CRT_ID`,`CRT_TIME`,`UPD_ID`,`UPD_TIME`,`ACT_ID`,`ACT_TIME`,`VER`) VALUES ('527', 'IsConfirm', '是否确认', '驳回', '2', '0', 'admin', now(), 'admin', now(), 'admin', now(), 1);</v>
      </c>
    </row>
    <row r="532" spans="2:11">
      <c r="B532" s="44">
        <f t="shared" si="2"/>
        <v>528</v>
      </c>
      <c r="C532" s="68" t="s">
        <v>461</v>
      </c>
      <c r="D532" s="68" t="s">
        <v>462</v>
      </c>
      <c r="E532" s="68" t="s">
        <v>164</v>
      </c>
      <c r="F532" s="74">
        <v>3</v>
      </c>
      <c r="G532" s="68">
        <v>0</v>
      </c>
      <c r="H532" s="69" t="s">
        <v>457</v>
      </c>
      <c r="I532" s="68" t="s">
        <v>462</v>
      </c>
      <c r="K532" s="19" t="str">
        <f t="shared" si="18"/>
        <v>INSERT INTO `comm_constant` (`ID`,`CONSTANT_TYPE`,`CONSTANT_TYPE_NAME`,`CONSTANT_NAME`,`CONSTANT_VALUE`,`DEL_FLG`,`CRT_ID`,`CRT_TIME`,`UPD_ID`,`UPD_TIME`,`ACT_ID`,`ACT_TIME`,`VER`) VALUES ('528', 'IsConfirm', '是否确认', '已确认', '3', '0', 'admin', now(), 'admin', now(), 'admin', now(), 1);</v>
      </c>
    </row>
    <row r="533" spans="2:11">
      <c r="B533" s="44">
        <f t="shared" si="2"/>
        <v>529</v>
      </c>
      <c r="C533" s="68" t="s">
        <v>465</v>
      </c>
      <c r="D533" s="55" t="s">
        <v>466</v>
      </c>
      <c r="E533" s="55" t="s">
        <v>467</v>
      </c>
      <c r="F533" s="65">
        <v>1</v>
      </c>
      <c r="G533" s="68">
        <v>0</v>
      </c>
      <c r="H533" s="69" t="s">
        <v>457</v>
      </c>
      <c r="I533" s="68" t="s">
        <v>466</v>
      </c>
      <c r="K533" s="19" t="str">
        <f t="shared" si="18"/>
        <v>INSERT INTO `comm_constant` (`ID`,`CONSTANT_TYPE`,`CONSTANT_TYPE_NAME`,`CONSTANT_NAME`,`CONSTANT_VALUE`,`DEL_FLG`,`CRT_ID`,`CRT_TIME`,`UPD_ID`,`UPD_TIME`,`ACT_ID`,`ACT_TIME`,`VER`) VALUES ('529', 'Role', '角色', '采购员 ', '1', '0', 'admin', now(), 'admin', now(), 'admin', now(), 1);</v>
      </c>
    </row>
    <row r="534" spans="2:11">
      <c r="B534" s="44">
        <f t="shared" si="2"/>
        <v>530</v>
      </c>
      <c r="C534" s="68" t="s">
        <v>465</v>
      </c>
      <c r="D534" s="55" t="s">
        <v>466</v>
      </c>
      <c r="E534" s="55" t="s">
        <v>468</v>
      </c>
      <c r="F534" s="65">
        <v>2</v>
      </c>
      <c r="G534" s="68">
        <v>0</v>
      </c>
      <c r="H534" s="69" t="s">
        <v>457</v>
      </c>
      <c r="I534" s="68" t="s">
        <v>466</v>
      </c>
      <c r="K534" s="19" t="str">
        <f t="shared" si="18"/>
        <v>INSERT INTO `comm_constant` (`ID`,`CONSTANT_TYPE`,`CONSTANT_TYPE_NAME`,`CONSTANT_NAME`,`CONSTANT_VALUE`,`DEL_FLG`,`CRT_ID`,`CRT_TIME`,`UPD_ID`,`UPD_TIME`,`ACT_ID`,`ACT_TIME`,`VER`) VALUES ('530', 'Role', '角色', '供应商', '2', '0', 'admin', now(), 'admin', now(), 'admin', now(), 1);</v>
      </c>
    </row>
    <row r="535" spans="2:11">
      <c r="B535" s="44">
        <f t="shared" si="2"/>
        <v>531</v>
      </c>
      <c r="C535" s="44" t="s">
        <v>476</v>
      </c>
      <c r="D535" s="44" t="s">
        <v>477</v>
      </c>
      <c r="E535" s="44" t="s">
        <v>478</v>
      </c>
      <c r="F535" s="67">
        <v>1</v>
      </c>
      <c r="G535" s="44">
        <v>0</v>
      </c>
      <c r="H535" s="44" t="s">
        <v>457</v>
      </c>
      <c r="I535" s="45" t="s">
        <v>479</v>
      </c>
      <c r="K535" s="19" t="str">
        <f t="shared" si="18"/>
        <v>INSERT INTO `comm_constant` (`ID`,`CONSTANT_TYPE`,`CONSTANT_TYPE_NAME`,`CONSTANT_NAME`,`CONSTANT_VALUE`,`DEL_FLG`,`CRT_ID`,`CRT_TIME`,`UPD_ID`,`UPD_TIME`,`ACT_ID`,`ACT_TIME`,`VER`) VALUES ('531', 'Untis', '单位', '箱', '1', '0', 'admin', now(), 'admin', now(), 'admin', now(), 1);</v>
      </c>
    </row>
    <row r="536" spans="2:11">
      <c r="B536" s="44">
        <f t="shared" si="2"/>
        <v>532</v>
      </c>
      <c r="C536" s="44" t="s">
        <v>476</v>
      </c>
      <c r="D536" s="44" t="s">
        <v>477</v>
      </c>
      <c r="E536" s="44" t="s">
        <v>480</v>
      </c>
      <c r="F536" s="67">
        <v>2</v>
      </c>
      <c r="G536" s="44">
        <v>0</v>
      </c>
      <c r="H536" s="44" t="s">
        <v>457</v>
      </c>
      <c r="I536" s="45" t="s">
        <v>479</v>
      </c>
      <c r="K536" s="19" t="str">
        <f t="shared" si="18"/>
        <v>INSERT INTO `comm_constant` (`ID`,`CONSTANT_TYPE`,`CONSTANT_TYPE_NAME`,`CONSTANT_NAME`,`CONSTANT_VALUE`,`DEL_FLG`,`CRT_ID`,`CRT_TIME`,`UPD_ID`,`UPD_TIME`,`ACT_ID`,`ACT_TIME`,`VER`) VALUES ('532', 'Untis', '单位', '吨', '2', '0', 'admin', now(), 'admin', now(), 'admin', now(), 1);</v>
      </c>
    </row>
    <row r="537" spans="2:11" ht="24">
      <c r="B537" s="44">
        <f t="shared" si="6"/>
        <v>533</v>
      </c>
      <c r="C537" s="62" t="s">
        <v>1142</v>
      </c>
      <c r="D537" s="44" t="s">
        <v>1143</v>
      </c>
      <c r="E537" s="44" t="s">
        <v>1144</v>
      </c>
      <c r="F537" s="67">
        <v>1</v>
      </c>
      <c r="G537" s="44">
        <v>0</v>
      </c>
      <c r="H537" s="44" t="s">
        <v>1145</v>
      </c>
      <c r="I537" s="61" t="s">
        <v>1146</v>
      </c>
      <c r="K537" s="19" t="str">
        <f t="shared" si="18"/>
        <v>INSERT INTO `comm_constant` (`ID`,`CONSTANT_TYPE`,`CONSTANT_TYPE_NAME`,`CONSTANT_NAME`,`CONSTANT_VALUE`,`DEL_FLG`,`CRT_ID`,`CRT_TIME`,`UPD_ID`,`UPD_TIME`,`ACT_ID`,`ACT_TIME`,`VER`) VALUES ('533', 'GradeCode', '产品等级标准', 'A1', '1', '0', 'admin', now(), 'admin', now(), 'admin', now(), 1);</v>
      </c>
    </row>
    <row r="538" spans="2:11">
      <c r="B538" s="44">
        <f t="shared" si="6"/>
        <v>534</v>
      </c>
      <c r="C538" s="62" t="s">
        <v>1142</v>
      </c>
      <c r="D538" s="44" t="s">
        <v>1143</v>
      </c>
      <c r="E538" s="44" t="s">
        <v>1147</v>
      </c>
      <c r="F538" s="67">
        <v>2</v>
      </c>
      <c r="G538" s="44">
        <v>0</v>
      </c>
      <c r="H538" s="44" t="s">
        <v>1145</v>
      </c>
      <c r="I538" s="61" t="s">
        <v>1148</v>
      </c>
      <c r="K538" s="19" t="str">
        <f t="shared" si="18"/>
        <v>INSERT INTO `comm_constant` (`ID`,`CONSTANT_TYPE`,`CONSTANT_TYPE_NAME`,`CONSTANT_NAME`,`CONSTANT_VALUE`,`DEL_FLG`,`CRT_ID`,`CRT_TIME`,`UPD_ID`,`UPD_TIME`,`ACT_ID`,`ACT_TIME`,`VER`) VALUES ('534', 'GradeCode', '产品等级标准', 'A2', '2', '0', 'admin', now(), 'admin', now(), 'admin', now(), 1);</v>
      </c>
    </row>
    <row r="539" spans="2:11">
      <c r="B539" s="44">
        <f t="shared" si="6"/>
        <v>535</v>
      </c>
      <c r="C539" s="62" t="s">
        <v>1142</v>
      </c>
      <c r="D539" s="44" t="s">
        <v>1143</v>
      </c>
      <c r="E539" s="44" t="s">
        <v>1149</v>
      </c>
      <c r="F539" s="67">
        <v>3</v>
      </c>
      <c r="G539" s="44">
        <v>0</v>
      </c>
      <c r="H539" s="44" t="s">
        <v>1429</v>
      </c>
      <c r="I539" s="61" t="s">
        <v>1148</v>
      </c>
      <c r="K539" s="19" t="str">
        <f t="shared" si="18"/>
        <v>INSERT INTO `comm_constant` (`ID`,`CONSTANT_TYPE`,`CONSTANT_TYPE_NAME`,`CONSTANT_NAME`,`CONSTANT_VALUE`,`DEL_FLG`,`CRT_ID`,`CRT_TIME`,`UPD_ID`,`UPD_TIME`,`ACT_ID`,`ACT_TIME`,`VER`) VALUES ('535', 'GradeCode', '产品等级标准', 'A3', '3', '0', 'admin', now(), 'admin', now(), 'admin', now(), 1);</v>
      </c>
    </row>
    <row r="540" spans="2:11">
      <c r="B540" s="44">
        <f t="shared" si="6"/>
        <v>536</v>
      </c>
      <c r="C540" s="44" t="s">
        <v>1419</v>
      </c>
      <c r="D540" s="44" t="s">
        <v>1420</v>
      </c>
      <c r="E540" s="44" t="s">
        <v>1423</v>
      </c>
      <c r="F540" s="67" t="s">
        <v>1426</v>
      </c>
      <c r="G540" s="44">
        <v>0</v>
      </c>
      <c r="H540" s="44" t="s">
        <v>1430</v>
      </c>
      <c r="I540" s="61"/>
      <c r="K540" s="19" t="str">
        <f t="shared" si="18"/>
        <v>INSERT INTO `comm_constant` (`ID`,`CONSTANT_TYPE`,`CONSTANT_TYPE_NAME`,`CONSTANT_NAME`,`CONSTANT_VALUE`,`DEL_FLG`,`CRT_ID`,`CRT_TIME`,`UPD_ID`,`UPD_TIME`,`ACT_ID`,`ACT_TIME`,`VER`) VALUES ('536', 'MarketingStatus', '营销状态', '大宗惠', '0', '0', 'admin', now(), 'admin', now(), 'admin', now(), 1);</v>
      </c>
    </row>
    <row r="541" spans="2:11">
      <c r="B541" s="44">
        <f t="shared" ref="B541:B542" si="19">ROW()-4</f>
        <v>537</v>
      </c>
      <c r="C541" s="44" t="s">
        <v>1419</v>
      </c>
      <c r="D541" s="44" t="s">
        <v>1421</v>
      </c>
      <c r="E541" s="44" t="s">
        <v>1424</v>
      </c>
      <c r="F541" s="67" t="s">
        <v>1427</v>
      </c>
      <c r="G541" s="44">
        <v>0</v>
      </c>
      <c r="H541" s="44" t="s">
        <v>1430</v>
      </c>
      <c r="I541" s="61"/>
      <c r="K541" s="19" t="str">
        <f t="shared" si="18"/>
        <v>INSERT INTO `comm_constant` (`ID`,`CONSTANT_TYPE`,`CONSTANT_TYPE_NAME`,`CONSTANT_NAME`,`CONSTANT_VALUE`,`DEL_FLG`,`CRT_ID`,`CRT_TIME`,`UPD_ID`,`UPD_TIME`,`ACT_ID`,`ACT_TIME`,`VER`) VALUES ('537', 'MarketingStatus', '营销状态', '新品惠', '1', '0', 'admin', now(), 'admin', now(), 'admin', now(), 1);</v>
      </c>
    </row>
    <row r="542" spans="2:11">
      <c r="B542" s="44">
        <f t="shared" si="19"/>
        <v>538</v>
      </c>
      <c r="C542" s="44" t="s">
        <v>1418</v>
      </c>
      <c r="D542" s="44" t="s">
        <v>1422</v>
      </c>
      <c r="E542" s="44" t="s">
        <v>1425</v>
      </c>
      <c r="F542" s="67" t="s">
        <v>1428</v>
      </c>
      <c r="G542" s="44">
        <v>0</v>
      </c>
      <c r="H542" s="44" t="s">
        <v>1429</v>
      </c>
      <c r="I542" s="61"/>
      <c r="K542" s="19" t="str">
        <f t="shared" si="18"/>
        <v>INSERT INTO `comm_constant` (`ID`,`CONSTANT_TYPE`,`CONSTANT_TYPE_NAME`,`CONSTANT_NAME`,`CONSTANT_VALUE`,`DEL_FLG`,`CRT_ID`,`CRT_TIME`,`UPD_ID`,`UPD_TIME`,`ACT_ID`,`ACT_TIME`,`VER`) VALUES ('538', 'MarketingStatus', '营销状态', '秒杀', '2', '0', 'admin', now(), 'admin', now(), 'admin', now(), 1);</v>
      </c>
    </row>
    <row r="543" spans="2:11">
      <c r="B543" s="44">
        <f t="shared" si="17"/>
        <v>539</v>
      </c>
      <c r="C543" s="44" t="s">
        <v>1150</v>
      </c>
      <c r="D543" s="44" t="s">
        <v>1151</v>
      </c>
      <c r="E543" s="44" t="s">
        <v>1152</v>
      </c>
      <c r="F543" s="67">
        <v>0</v>
      </c>
      <c r="G543" s="44">
        <v>0</v>
      </c>
      <c r="H543" s="44" t="s">
        <v>1153</v>
      </c>
      <c r="I543" s="44"/>
      <c r="K543" s="19" t="str">
        <f t="shared" si="18"/>
        <v>INSERT INTO `comm_constant` (`ID`,`CONSTANT_TYPE`,`CONSTANT_TYPE_NAME`,`CONSTANT_NAME`,`CONSTANT_VALUE`,`DEL_FLG`,`CRT_ID`,`CRT_TIME`,`UPD_ID`,`UPD_TIME`,`ACT_ID`,`ACT_TIME`,`VER`) VALUES ('539', 'HkGradeCode', '冻品管家分类级别', '特级', '0', '0', 'admin', now(), 'admin', now(), 'admin', now(), 1);</v>
      </c>
    </row>
    <row r="544" spans="2:11">
      <c r="B544" s="44">
        <f t="shared" si="17"/>
        <v>540</v>
      </c>
      <c r="C544" s="44" t="s">
        <v>1150</v>
      </c>
      <c r="D544" s="44" t="s">
        <v>1151</v>
      </c>
      <c r="E544" s="44" t="s">
        <v>1154</v>
      </c>
      <c r="F544" s="67">
        <v>1</v>
      </c>
      <c r="G544" s="44">
        <v>0</v>
      </c>
      <c r="H544" s="44" t="s">
        <v>1153</v>
      </c>
      <c r="I544" s="44"/>
      <c r="K544" s="19" t="str">
        <f t="shared" si="18"/>
        <v>INSERT INTO `comm_constant` (`ID`,`CONSTANT_TYPE`,`CONSTANT_TYPE_NAME`,`CONSTANT_NAME`,`CONSTANT_VALUE`,`DEL_FLG`,`CRT_ID`,`CRT_TIME`,`UPD_ID`,`UPD_TIME`,`ACT_ID`,`ACT_TIME`,`VER`) VALUES ('540', 'HkGradeCode', '冻品管家分类级别', '高级', '1', '0', 'admin', now(), 'admin', now(), 'admin', now(), 1);</v>
      </c>
    </row>
    <row r="545" spans="2:11">
      <c r="B545" s="44">
        <f t="shared" si="17"/>
        <v>541</v>
      </c>
      <c r="C545" s="44" t="s">
        <v>1150</v>
      </c>
      <c r="D545" s="44" t="s">
        <v>1151</v>
      </c>
      <c r="E545" s="44" t="s">
        <v>1155</v>
      </c>
      <c r="F545" s="67">
        <v>2</v>
      </c>
      <c r="G545" s="44">
        <v>0</v>
      </c>
      <c r="H545" s="44" t="s">
        <v>1153</v>
      </c>
      <c r="I545" s="44"/>
      <c r="K545" s="19" t="str">
        <f t="shared" si="18"/>
        <v>INSERT INTO `comm_constant` (`ID`,`CONSTANT_TYPE`,`CONSTANT_TYPE_NAME`,`CONSTANT_NAME`,`CONSTANT_VALUE`,`DEL_FLG`,`CRT_ID`,`CRT_TIME`,`UPD_ID`,`UPD_TIME`,`ACT_ID`,`ACT_TIME`,`VER`) VALUES ('541', 'HkGradeCode', '冻品管家分类级别', '中级', '2', '0', 'admin', now(), 'admin', now(), 'admin', now(), 1);</v>
      </c>
    </row>
    <row r="546" spans="2:11">
      <c r="B546" s="44">
        <f t="shared" si="17"/>
        <v>542</v>
      </c>
      <c r="C546" s="44" t="s">
        <v>1150</v>
      </c>
      <c r="D546" s="44" t="s">
        <v>1151</v>
      </c>
      <c r="E546" s="44" t="s">
        <v>1156</v>
      </c>
      <c r="F546" s="67">
        <v>3</v>
      </c>
      <c r="G546" s="44">
        <v>0</v>
      </c>
      <c r="H546" s="44" t="s">
        <v>1153</v>
      </c>
      <c r="I546" s="44"/>
      <c r="K546" s="19" t="str">
        <f t="shared" si="18"/>
        <v>INSERT INTO `comm_constant` (`ID`,`CONSTANT_TYPE`,`CONSTANT_TYPE_NAME`,`CONSTANT_NAME`,`CONSTANT_VALUE`,`DEL_FLG`,`CRT_ID`,`CRT_TIME`,`UPD_ID`,`UPD_TIME`,`ACT_ID`,`ACT_TIME`,`VER`) VALUES ('542', 'HkGradeCode', '冻品管家分类级别', '见习', '3', '0', 'admin', now(), 'admin', now(), 'admin', now(), 1);</v>
      </c>
    </row>
    <row r="547" spans="2:11">
      <c r="B547" s="44">
        <f t="shared" si="17"/>
        <v>543</v>
      </c>
      <c r="C547" s="44" t="s">
        <v>1157</v>
      </c>
      <c r="D547" s="44" t="s">
        <v>1158</v>
      </c>
      <c r="E547" s="44" t="s">
        <v>1159</v>
      </c>
      <c r="F547" s="67" t="s">
        <v>1160</v>
      </c>
      <c r="G547" s="44">
        <v>0</v>
      </c>
      <c r="H547" s="44" t="s">
        <v>1153</v>
      </c>
      <c r="I547" s="44"/>
      <c r="K547" s="19" t="str">
        <f t="shared" si="18"/>
        <v>INSERT INTO `comm_constant` (`ID`,`CONSTANT_TYPE`,`CONSTANT_TYPE_NAME`,`CONSTANT_NAME`,`CONSTANT_VALUE`,`DEL_FLG`,`CRT_ID`,`CRT_TIME`,`UPD_ID`,`UPD_TIME`,`ACT_ID`,`ACT_TIME`,`VER`) VALUES ('543', 'ApplySide', '认证方式', '冻品管家发展专属会员买家', 'A', '0', 'admin', now(), 'admin', now(), 'admin', now(), 1);</v>
      </c>
    </row>
    <row r="548" spans="2:11">
      <c r="B548" s="44">
        <f t="shared" si="17"/>
        <v>544</v>
      </c>
      <c r="C548" s="44" t="s">
        <v>1157</v>
      </c>
      <c r="D548" s="44" t="s">
        <v>1158</v>
      </c>
      <c r="E548" s="44" t="s">
        <v>1161</v>
      </c>
      <c r="F548" s="67" t="s">
        <v>1162</v>
      </c>
      <c r="G548" s="44">
        <v>0</v>
      </c>
      <c r="H548" s="44" t="s">
        <v>1153</v>
      </c>
      <c r="I548" s="44"/>
      <c r="K548" s="19" t="str">
        <f t="shared" si="18"/>
        <v>INSERT INTO `comm_constant` (`ID`,`CONSTANT_TYPE`,`CONSTANT_TYPE_NAME`,`CONSTANT_NAME`,`CONSTANT_VALUE`,`DEL_FLG`,`CRT_ID`,`CRT_TIME`,`UPD_ID`,`UPD_TIME`,`ACT_ID`,`ACT_TIME`,`VER`) VALUES ('544', 'ApplySide', '认证方式', '买家选择专属冻品管家', 'B', '0', 'admin', now(), 'admin', now(), 'admin', now(), 1);</v>
      </c>
    </row>
    <row r="549" spans="2:11">
      <c r="B549" s="44">
        <f t="shared" si="17"/>
        <v>545</v>
      </c>
      <c r="C549" s="44" t="s">
        <v>1163</v>
      </c>
      <c r="D549" s="44" t="s">
        <v>1164</v>
      </c>
      <c r="E549" s="44" t="s">
        <v>1165</v>
      </c>
      <c r="F549" s="67">
        <v>11</v>
      </c>
      <c r="G549" s="44">
        <v>0</v>
      </c>
      <c r="H549" s="44" t="s">
        <v>1166</v>
      </c>
      <c r="I549" s="44"/>
      <c r="K549" s="19" t="str">
        <f t="shared" si="18"/>
        <v>INSERT INTO `comm_constant` (`ID`,`CONSTANT_TYPE`,`CONSTANT_TYPE_NAME`,`CONSTANT_NAME`,`CONSTANT_VALUE`,`DEL_FLG`,`CRT_ID`,`CRT_TIME`,`UPD_ID`,`UPD_TIME`,`ACT_ID`,`ACT_TIME`,`VER`) VALUES ('545', 'InboundType', '入库类型', '采购入库', '11', '0', 'admin', now(), 'admin', now(), 'admin', now(), 1);</v>
      </c>
    </row>
    <row r="550" spans="2:11">
      <c r="B550" s="44">
        <f t="shared" si="17"/>
        <v>546</v>
      </c>
      <c r="C550" s="44" t="s">
        <v>1163</v>
      </c>
      <c r="D550" s="44" t="s">
        <v>1164</v>
      </c>
      <c r="E550" s="44" t="s">
        <v>1167</v>
      </c>
      <c r="F550" s="67">
        <v>12</v>
      </c>
      <c r="G550" s="44">
        <v>0</v>
      </c>
      <c r="H550" s="44" t="s">
        <v>1166</v>
      </c>
      <c r="I550" s="44"/>
      <c r="K550" s="19" t="str">
        <f t="shared" si="18"/>
        <v>INSERT INTO `comm_constant` (`ID`,`CONSTANT_TYPE`,`CONSTANT_TYPE_NAME`,`CONSTANT_NAME`,`CONSTANT_VALUE`,`DEL_FLG`,`CRT_ID`,`CRT_TIME`,`UPD_ID`,`UPD_TIME`,`ACT_ID`,`ACT_TIME`,`VER`) VALUES ('546', 'InboundType', '入库类型', '调整入库', '12', '0', 'admin', now(), 'admin', now(), 'admin', now(), 1);</v>
      </c>
    </row>
    <row r="551" spans="2:11">
      <c r="B551" s="44">
        <f t="shared" si="17"/>
        <v>547</v>
      </c>
      <c r="C551" s="44" t="s">
        <v>1163</v>
      </c>
      <c r="D551" s="44" t="s">
        <v>1164</v>
      </c>
      <c r="E551" s="44" t="s">
        <v>1168</v>
      </c>
      <c r="F551" s="67">
        <v>13</v>
      </c>
      <c r="G551" s="44">
        <v>0</v>
      </c>
      <c r="H551" s="44" t="s">
        <v>1166</v>
      </c>
      <c r="I551" s="44"/>
      <c r="K551" s="19" t="str">
        <f t="shared" si="18"/>
        <v>INSERT INTO `comm_constant` (`ID`,`CONSTANT_TYPE`,`CONSTANT_TYPE_NAME`,`CONSTANT_NAME`,`CONSTANT_VALUE`,`DEL_FLG`,`CRT_ID`,`CRT_TIME`,`UPD_ID`,`UPD_TIME`,`ACT_ID`,`ACT_TIME`,`VER`) VALUES ('547', 'InboundType', '入库类型', '退货入库', '13', '0', 'admin', now(), 'admin', now(), 'admin', now(), 1);</v>
      </c>
    </row>
    <row r="552" spans="2:11">
      <c r="B552" s="44">
        <f t="shared" si="17"/>
        <v>548</v>
      </c>
      <c r="C552" s="44" t="s">
        <v>1163</v>
      </c>
      <c r="D552" s="44" t="s">
        <v>1164</v>
      </c>
      <c r="E552" s="44" t="s">
        <v>1169</v>
      </c>
      <c r="F552" s="67">
        <v>14</v>
      </c>
      <c r="G552" s="44">
        <v>0</v>
      </c>
      <c r="H552" s="44" t="s">
        <v>1166</v>
      </c>
      <c r="I552" s="44"/>
      <c r="K552" s="19" t="str">
        <f t="shared" si="18"/>
        <v>INSERT INTO `comm_constant` (`ID`,`CONSTANT_TYPE`,`CONSTANT_TYPE_NAME`,`CONSTANT_NAME`,`CONSTANT_VALUE`,`DEL_FLG`,`CRT_ID`,`CRT_TIME`,`UPD_ID`,`UPD_TIME`,`ACT_ID`,`ACT_TIME`,`VER`) VALUES ('548', 'InboundType', '入库类型', '样品入库', '14', '0', 'admin', now(), 'admin', now(), 'admin', now(), 1);</v>
      </c>
    </row>
    <row r="553" spans="2:11">
      <c r="B553" s="44">
        <f t="shared" si="17"/>
        <v>549</v>
      </c>
      <c r="C553" s="44" t="s">
        <v>1170</v>
      </c>
      <c r="D553" s="44" t="s">
        <v>1171</v>
      </c>
      <c r="E553" s="44" t="s">
        <v>1172</v>
      </c>
      <c r="F553" s="67">
        <v>21</v>
      </c>
      <c r="G553" s="44">
        <v>0</v>
      </c>
      <c r="H553" s="44" t="s">
        <v>1166</v>
      </c>
      <c r="I553" s="44"/>
      <c r="K553" s="19" t="str">
        <f t="shared" si="18"/>
        <v>INSERT INTO `comm_constant` (`ID`,`CONSTANT_TYPE`,`CONSTANT_TYPE_NAME`,`CONSTANT_NAME`,`CONSTANT_VALUE`,`DEL_FLG`,`CRT_ID`,`CRT_TIME`,`UPD_ID`,`UPD_TIME`,`ACT_ID`,`ACT_TIME`,`VER`) VALUES ('549', 'OutboundType', '出库类型', '销售出库', '21', '0', 'admin', now(), 'admin', now(), 'admin', now(), 1);</v>
      </c>
    </row>
    <row r="554" spans="2:11">
      <c r="B554" s="44">
        <f t="shared" si="17"/>
        <v>550</v>
      </c>
      <c r="C554" s="44" t="s">
        <v>1170</v>
      </c>
      <c r="D554" s="44" t="s">
        <v>1171</v>
      </c>
      <c r="E554" s="44" t="s">
        <v>1173</v>
      </c>
      <c r="F554" s="67">
        <v>22</v>
      </c>
      <c r="G554" s="44">
        <v>0</v>
      </c>
      <c r="H554" s="44" t="s">
        <v>1166</v>
      </c>
      <c r="I554" s="44"/>
      <c r="K554" s="19" t="str">
        <f t="shared" si="18"/>
        <v>INSERT INTO `comm_constant` (`ID`,`CONSTANT_TYPE`,`CONSTANT_TYPE_NAME`,`CONSTANT_NAME`,`CONSTANT_VALUE`,`DEL_FLG`,`CRT_ID`,`CRT_TIME`,`UPD_ID`,`UPD_TIME`,`ACT_ID`,`ACT_TIME`,`VER`) VALUES ('550', 'OutboundType', '出库类型', '调整出库', '22', '0', 'admin', now(), 'admin', now(), 'admin', now(), 1);</v>
      </c>
    </row>
    <row r="555" spans="2:11">
      <c r="B555" s="44">
        <f t="shared" si="17"/>
        <v>551</v>
      </c>
      <c r="C555" s="44" t="s">
        <v>1170</v>
      </c>
      <c r="D555" s="44" t="s">
        <v>1171</v>
      </c>
      <c r="E555" s="44" t="s">
        <v>1174</v>
      </c>
      <c r="F555" s="67">
        <v>23</v>
      </c>
      <c r="G555" s="44">
        <v>0</v>
      </c>
      <c r="H555" s="44" t="s">
        <v>1166</v>
      </c>
      <c r="I555" s="44"/>
      <c r="K555" s="19" t="str">
        <f t="shared" si="18"/>
        <v>INSERT INTO `comm_constant` (`ID`,`CONSTANT_TYPE`,`CONSTANT_TYPE_NAME`,`CONSTANT_NAME`,`CONSTANT_VALUE`,`DEL_FLG`,`CRT_ID`,`CRT_TIME`,`UPD_ID`,`UPD_TIME`,`ACT_ID`,`ACT_TIME`,`VER`) VALUES ('551', 'OutboundType', '出库类型', '退货出库', '23', '0', 'admin', now(), 'admin', now(), 'admin', now(), 1);</v>
      </c>
    </row>
    <row r="556" spans="2:11">
      <c r="B556" s="44">
        <f t="shared" si="17"/>
        <v>552</v>
      </c>
      <c r="C556" s="44" t="s">
        <v>1170</v>
      </c>
      <c r="D556" s="44" t="s">
        <v>1171</v>
      </c>
      <c r="E556" s="44" t="s">
        <v>1175</v>
      </c>
      <c r="F556" s="67">
        <v>24</v>
      </c>
      <c r="G556" s="44">
        <v>0</v>
      </c>
      <c r="H556" s="44" t="s">
        <v>1166</v>
      </c>
      <c r="I556" s="44"/>
      <c r="K556" s="19" t="str">
        <f t="shared" si="18"/>
        <v>INSERT INTO `comm_constant` (`ID`,`CONSTANT_TYPE`,`CONSTANT_TYPE_NAME`,`CONSTANT_NAME`,`CONSTANT_VALUE`,`DEL_FLG`,`CRT_ID`,`CRT_TIME`,`UPD_ID`,`UPD_TIME`,`ACT_ID`,`ACT_TIME`,`VER`) VALUES ('552', 'OutboundType', '出库类型', '样品出库', '24', '0', 'admin', now(), 'admin', now(), 'admin', now(), 1);</v>
      </c>
    </row>
    <row r="557" spans="2:11">
      <c r="B557" s="44">
        <f t="shared" si="17"/>
        <v>553</v>
      </c>
      <c r="C557" s="44" t="s">
        <v>1176</v>
      </c>
      <c r="D557" s="44" t="s">
        <v>1177</v>
      </c>
      <c r="E557" s="44" t="s">
        <v>1178</v>
      </c>
      <c r="F557" s="67">
        <v>31</v>
      </c>
      <c r="G557" s="44">
        <v>0</v>
      </c>
      <c r="H557" s="44" t="s">
        <v>1166</v>
      </c>
      <c r="I557" s="44"/>
      <c r="K557" s="19" t="str">
        <f t="shared" si="18"/>
        <v>INSERT INTO `comm_constant` (`ID`,`CONSTANT_TYPE`,`CONSTANT_TYPE_NAME`,`CONSTANT_NAME`,`CONSTANT_VALUE`,`DEL_FLG`,`CRT_ID`,`CRT_TIME`,`UPD_ID`,`UPD_TIME`,`ACT_ID`,`ACT_TIME`,`VER`) VALUES ('553', 'GoodType', '货品类型', '良品', '31', '0', 'admin', now(), 'admin', now(), 'admin', now(), 1);</v>
      </c>
    </row>
    <row r="558" spans="2:11">
      <c r="B558" s="44">
        <f t="shared" si="17"/>
        <v>554</v>
      </c>
      <c r="C558" s="44" t="s">
        <v>1176</v>
      </c>
      <c r="D558" s="44" t="s">
        <v>1177</v>
      </c>
      <c r="E558" s="44" t="s">
        <v>1179</v>
      </c>
      <c r="F558" s="67">
        <v>32</v>
      </c>
      <c r="G558" s="44">
        <v>0</v>
      </c>
      <c r="H558" s="44" t="s">
        <v>1166</v>
      </c>
      <c r="I558" s="44"/>
      <c r="K558" s="19" t="str">
        <f t="shared" si="18"/>
        <v>INSERT INTO `comm_constant` (`ID`,`CONSTANT_TYPE`,`CONSTANT_TYPE_NAME`,`CONSTANT_NAME`,`CONSTANT_VALUE`,`DEL_FLG`,`CRT_ID`,`CRT_TIME`,`UPD_ID`,`UPD_TIME`,`ACT_ID`,`ACT_TIME`,`VER`) VALUES ('554', 'GoodType', '货品类型', '不良品', '32', '0', 'admin', now(), 'admin', now(), 'admin', now(), 1);</v>
      </c>
    </row>
    <row r="559" spans="2:11">
      <c r="B559" s="44">
        <f t="shared" si="17"/>
        <v>555</v>
      </c>
      <c r="C559" s="44" t="s">
        <v>1176</v>
      </c>
      <c r="D559" s="44" t="s">
        <v>1177</v>
      </c>
      <c r="E559" s="44" t="s">
        <v>1180</v>
      </c>
      <c r="F559" s="67">
        <v>33</v>
      </c>
      <c r="G559" s="44">
        <v>0</v>
      </c>
      <c r="H559" s="44" t="s">
        <v>1166</v>
      </c>
      <c r="I559" s="44"/>
      <c r="K559" s="19" t="str">
        <f t="shared" si="18"/>
        <v>INSERT INTO `comm_constant` (`ID`,`CONSTANT_TYPE`,`CONSTANT_TYPE_NAME`,`CONSTANT_NAME`,`CONSTANT_VALUE`,`DEL_FLG`,`CRT_ID`,`CRT_TIME`,`UPD_ID`,`UPD_TIME`,`ACT_ID`,`ACT_TIME`,`VER`) VALUES ('555', 'GoodType', '货品类型', '问题品', '33', '0', 'admin', now(), 'admin', now(), 'admin', now(), 1);</v>
      </c>
    </row>
    <row r="560" spans="2:11">
      <c r="B560" s="44">
        <f t="shared" si="17"/>
        <v>556</v>
      </c>
      <c r="C560" s="44" t="s">
        <v>1181</v>
      </c>
      <c r="D560" s="44" t="s">
        <v>1182</v>
      </c>
      <c r="E560" s="44" t="s">
        <v>1183</v>
      </c>
      <c r="F560" s="67">
        <v>51</v>
      </c>
      <c r="G560" s="44">
        <v>0</v>
      </c>
      <c r="H560" s="44" t="s">
        <v>1166</v>
      </c>
      <c r="I560" s="44"/>
      <c r="K560" s="19" t="str">
        <f t="shared" si="18"/>
        <v>INSERT INTO `comm_constant` (`ID`,`CONSTANT_TYPE`,`CONSTANT_TYPE_NAME`,`CONSTANT_NAME`,`CONSTANT_VALUE`,`DEL_FLG`,`CRT_ID`,`CRT_TIME`,`UPD_ID`,`UPD_TIME`,`ACT_ID`,`ACT_TIME`,`VER`) VALUES ('556', 'IvStatus', '库存状态', '采购在途', '51', '0', 'admin', now(), 'admin', now(), 'admin', now(), 1);</v>
      </c>
    </row>
    <row r="561" spans="2:11">
      <c r="B561" s="44">
        <f t="shared" si="17"/>
        <v>557</v>
      </c>
      <c r="C561" s="44" t="s">
        <v>1181</v>
      </c>
      <c r="D561" s="44" t="s">
        <v>1182</v>
      </c>
      <c r="E561" s="44" t="s">
        <v>1184</v>
      </c>
      <c r="F561" s="67">
        <v>519</v>
      </c>
      <c r="G561" s="44">
        <v>0</v>
      </c>
      <c r="H561" s="44" t="s">
        <v>1166</v>
      </c>
      <c r="I561" s="44"/>
      <c r="K561" s="19" t="str">
        <f t="shared" si="18"/>
        <v>INSERT INTO `comm_constant` (`ID`,`CONSTANT_TYPE`,`CONSTANT_TYPE_NAME`,`CONSTANT_NAME`,`CONSTANT_VALUE`,`DEL_FLG`,`CRT_ID`,`CRT_TIME`,`UPD_ID`,`UPD_TIME`,`ACT_ID`,`ACT_TIME`,`VER`) VALUES ('557', 'IvStatus', '库存状态', '未收货', '519', '0', 'admin', now(), 'admin', now(), 'admin', now(), 1);</v>
      </c>
    </row>
    <row r="562" spans="2:11">
      <c r="B562" s="44">
        <f t="shared" si="17"/>
        <v>558</v>
      </c>
      <c r="C562" s="44" t="s">
        <v>1181</v>
      </c>
      <c r="D562" s="44" t="s">
        <v>1182</v>
      </c>
      <c r="E562" s="44" t="s">
        <v>1185</v>
      </c>
      <c r="F562" s="67">
        <v>52</v>
      </c>
      <c r="G562" s="44">
        <v>0</v>
      </c>
      <c r="H562" s="44" t="s">
        <v>1166</v>
      </c>
      <c r="I562" s="44"/>
      <c r="K562" s="19" t="str">
        <f t="shared" si="18"/>
        <v>INSERT INTO `comm_constant` (`ID`,`CONSTANT_TYPE`,`CONSTANT_TYPE_NAME`,`CONSTANT_NAME`,`CONSTANT_VALUE`,`DEL_FLG`,`CRT_ID`,`CRT_TIME`,`UPD_ID`,`UPD_TIME`,`ACT_ID`,`ACT_TIME`,`VER`) VALUES ('558', 'IvStatus', '库存状态', '入库中', '52', '0', 'admin', now(), 'admin', now(), 'admin', now(), 1);</v>
      </c>
    </row>
    <row r="563" spans="2:11">
      <c r="B563" s="44">
        <f t="shared" si="17"/>
        <v>559</v>
      </c>
      <c r="C563" s="44" t="s">
        <v>1181</v>
      </c>
      <c r="D563" s="44" t="s">
        <v>1182</v>
      </c>
      <c r="E563" s="44" t="s">
        <v>1186</v>
      </c>
      <c r="F563" s="67">
        <v>53</v>
      </c>
      <c r="G563" s="44">
        <v>0</v>
      </c>
      <c r="H563" s="44" t="s">
        <v>1166</v>
      </c>
      <c r="I563" s="44"/>
      <c r="K563" s="19" t="str">
        <f t="shared" si="18"/>
        <v>INSERT INTO `comm_constant` (`ID`,`CONSTANT_TYPE`,`CONSTANT_TYPE_NAME`,`CONSTANT_NAME`,`CONSTANT_VALUE`,`DEL_FLG`,`CRT_ID`,`CRT_TIME`,`UPD_ID`,`UPD_TIME`,`ACT_ID`,`ACT_TIME`,`VER`) VALUES ('559', 'IvStatus', '库存状态', '在库', '53', '0', 'admin', now(), 'admin', now(), 'admin', now(), 1);</v>
      </c>
    </row>
    <row r="564" spans="2:11">
      <c r="B564" s="44">
        <f t="shared" si="17"/>
        <v>560</v>
      </c>
      <c r="C564" s="44" t="s">
        <v>1181</v>
      </c>
      <c r="D564" s="44" t="s">
        <v>1182</v>
      </c>
      <c r="E564" s="44" t="s">
        <v>1187</v>
      </c>
      <c r="F564" s="67">
        <v>54</v>
      </c>
      <c r="G564" s="44">
        <v>0</v>
      </c>
      <c r="H564" s="44" t="s">
        <v>1166</v>
      </c>
      <c r="I564" s="44"/>
      <c r="K564" s="19" t="str">
        <f t="shared" si="18"/>
        <v>INSERT INTO `comm_constant` (`ID`,`CONSTANT_TYPE`,`CONSTANT_TYPE_NAME`,`CONSTANT_NAME`,`CONSTANT_VALUE`,`DEL_FLG`,`CRT_ID`,`CRT_TIME`,`UPD_ID`,`UPD_TIME`,`ACT_ID`,`ACT_TIME`,`VER`) VALUES ('560', 'IvStatus', '库存状态', '出库中', '54', '0', 'admin', now(), 'admin', now(), 'admin', now(), 1);</v>
      </c>
    </row>
    <row r="565" spans="2:11">
      <c r="B565" s="44">
        <f t="shared" si="17"/>
        <v>561</v>
      </c>
      <c r="C565" s="44" t="s">
        <v>1181</v>
      </c>
      <c r="D565" s="44" t="s">
        <v>1182</v>
      </c>
      <c r="E565" s="44" t="s">
        <v>1188</v>
      </c>
      <c r="F565" s="67">
        <v>55</v>
      </c>
      <c r="G565" s="44">
        <v>0</v>
      </c>
      <c r="H565" s="44" t="s">
        <v>1166</v>
      </c>
      <c r="I565" s="44"/>
      <c r="K565" s="19" t="str">
        <f t="shared" si="18"/>
        <v>INSERT INTO `comm_constant` (`ID`,`CONSTANT_TYPE`,`CONSTANT_TYPE_NAME`,`CONSTANT_NAME`,`CONSTANT_VALUE`,`DEL_FLG`,`CRT_ID`,`CRT_TIME`,`UPD_ID`,`UPD_TIME`,`ACT_ID`,`ACT_TIME`,`VER`) VALUES ('561', 'IvStatus', '库存状态', '已发货', '55', '0', 'admin', now(), 'admin', now(), 'admin', now(), 1);</v>
      </c>
    </row>
    <row r="566" spans="2:11">
      <c r="B566" s="44">
        <f t="shared" si="17"/>
        <v>562</v>
      </c>
      <c r="C566" s="44" t="s">
        <v>1181</v>
      </c>
      <c r="D566" s="44" t="s">
        <v>1182</v>
      </c>
      <c r="E566" s="44" t="s">
        <v>1189</v>
      </c>
      <c r="F566" s="67">
        <v>559</v>
      </c>
      <c r="G566" s="44">
        <v>0</v>
      </c>
      <c r="H566" s="44" t="s">
        <v>1166</v>
      </c>
      <c r="I566" s="44"/>
      <c r="K566" s="19" t="str">
        <f t="shared" si="18"/>
        <v>INSERT INTO `comm_constant` (`ID`,`CONSTANT_TYPE`,`CONSTANT_TYPE_NAME`,`CONSTANT_NAME`,`CONSTANT_VALUE`,`DEL_FLG`,`CRT_ID`,`CRT_TIME`,`UPD_ID`,`UPD_TIME`,`ACT_ID`,`ACT_TIME`,`VER`) VALUES ('562', 'IvStatus', '库存状态', '未交付', '559', '0', 'admin', now(), 'admin', now(), 'admin', now(), 1);</v>
      </c>
    </row>
    <row r="567" spans="2:11">
      <c r="B567" s="44">
        <f t="shared" si="17"/>
        <v>563</v>
      </c>
      <c r="C567" s="44" t="s">
        <v>1181</v>
      </c>
      <c r="D567" s="44" t="s">
        <v>1182</v>
      </c>
      <c r="E567" s="44" t="s">
        <v>1190</v>
      </c>
      <c r="F567" s="67">
        <v>56</v>
      </c>
      <c r="G567" s="44">
        <v>0</v>
      </c>
      <c r="H567" s="44" t="s">
        <v>1166</v>
      </c>
      <c r="I567" s="44"/>
      <c r="K567" s="19" t="str">
        <f t="shared" si="18"/>
        <v>INSERT INTO `comm_constant` (`ID`,`CONSTANT_TYPE`,`CONSTANT_TYPE_NAME`,`CONSTANT_NAME`,`CONSTANT_VALUE`,`DEL_FLG`,`CRT_ID`,`CRT_TIME`,`UPD_ID`,`UPD_TIME`,`ACT_ID`,`ACT_TIME`,`VER`) VALUES ('563', 'IvStatus', '库存状态', '已交付', '56', '0', 'admin', now(), 'admin', now(), 'admin', now(), 1);</v>
      </c>
    </row>
    <row r="568" spans="2:11">
      <c r="B568" s="44">
        <f t="shared" si="17"/>
        <v>564</v>
      </c>
      <c r="C568" s="44" t="s">
        <v>1191</v>
      </c>
      <c r="D568" s="44" t="s">
        <v>1192</v>
      </c>
      <c r="E568" s="44" t="s">
        <v>1193</v>
      </c>
      <c r="F568" s="67">
        <v>1</v>
      </c>
      <c r="G568" s="44">
        <v>0</v>
      </c>
      <c r="H568" s="44" t="s">
        <v>1166</v>
      </c>
      <c r="I568" s="44"/>
      <c r="K568" s="19" t="str">
        <f t="shared" si="18"/>
        <v>INSERT INTO `comm_constant` (`ID`,`CONSTANT_TYPE`,`CONSTANT_TYPE_NAME`,`CONSTANT_NAME`,`CONSTANT_VALUE`,`DEL_FLG`,`CRT_ID`,`CRT_TIME`,`UPD_ID`,`UPD_TIME`,`ACT_ID`,`ACT_TIME`,`VER`) VALUES ('564', 'SlType', '卖家类型', '平台', '1', '0', 'admin', now(), 'admin', now(), 'admin', now(), 1);</v>
      </c>
    </row>
    <row r="569" spans="2:11">
      <c r="B569" s="44">
        <f t="shared" ref="B569:B598" si="20">ROW()-4</f>
        <v>565</v>
      </c>
      <c r="C569" s="44" t="s">
        <v>1191</v>
      </c>
      <c r="D569" s="44" t="s">
        <v>1192</v>
      </c>
      <c r="E569" s="44" t="s">
        <v>1194</v>
      </c>
      <c r="F569" s="67">
        <v>2</v>
      </c>
      <c r="G569" s="44">
        <v>0</v>
      </c>
      <c r="H569" s="44" t="s">
        <v>1166</v>
      </c>
      <c r="I569" s="44"/>
      <c r="K569" s="19" t="str">
        <f t="shared" si="18"/>
        <v>INSERT INTO `comm_constant` (`ID`,`CONSTANT_TYPE`,`CONSTANT_TYPE_NAME`,`CONSTANT_NAME`,`CONSTANT_VALUE`,`DEL_FLG`,`CRT_ID`,`CRT_TIME`,`UPD_ID`,`UPD_TIME`,`ACT_ID`,`ACT_TIME`,`VER`) VALUES ('565', 'SlType', '卖家类型', '买手', '2', '0', 'admin', now(), 'admin', now(), 'admin', now(), 1);</v>
      </c>
    </row>
    <row r="570" spans="2:11">
      <c r="B570" s="44">
        <f t="shared" si="20"/>
        <v>566</v>
      </c>
      <c r="C570" s="44" t="s">
        <v>1195</v>
      </c>
      <c r="D570" s="44" t="s">
        <v>1196</v>
      </c>
      <c r="E570" s="44" t="s">
        <v>885</v>
      </c>
      <c r="F570" s="67">
        <v>11</v>
      </c>
      <c r="G570" s="44">
        <v>0</v>
      </c>
      <c r="H570" s="44" t="s">
        <v>1166</v>
      </c>
      <c r="I570" s="44"/>
      <c r="K570" s="19" t="str">
        <f t="shared" si="18"/>
        <v>INSERT INTO `comm_constant` (`ID`,`CONSTANT_TYPE`,`CONSTANT_TYPE_NAME`,`CONSTANT_NAME`,`CONSTANT_VALUE`,`DEL_FLG`,`CRT_ID`,`CRT_TIME`,`UPD_ID`,`UPD_TIME`,`ACT_ID`,`ACT_TIME`,`VER`) VALUES ('566', 'TranType', '业务类型', '采购入库', '11', '0', 'admin', now(), 'admin', now(), 'admin', now(), 1);</v>
      </c>
    </row>
    <row r="571" spans="2:11">
      <c r="B571" s="44">
        <f t="shared" si="20"/>
        <v>567</v>
      </c>
      <c r="C571" s="44" t="s">
        <v>1195</v>
      </c>
      <c r="D571" s="44" t="s">
        <v>1196</v>
      </c>
      <c r="E571" s="44" t="s">
        <v>886</v>
      </c>
      <c r="F571" s="67">
        <v>12</v>
      </c>
      <c r="G571" s="44">
        <v>0</v>
      </c>
      <c r="H571" s="44" t="s">
        <v>1166</v>
      </c>
      <c r="I571" s="44"/>
      <c r="K571" s="19" t="str">
        <f t="shared" si="18"/>
        <v>INSERT INTO `comm_constant` (`ID`,`CONSTANT_TYPE`,`CONSTANT_TYPE_NAME`,`CONSTANT_NAME`,`CONSTANT_VALUE`,`DEL_FLG`,`CRT_ID`,`CRT_TIME`,`UPD_ID`,`UPD_TIME`,`ACT_ID`,`ACT_TIME`,`VER`) VALUES ('567', 'TranType', '业务类型', '调整入库', '12', '0', 'admin', now(), 'admin', now(), 'admin', now(), 1);</v>
      </c>
    </row>
    <row r="572" spans="2:11">
      <c r="B572" s="44">
        <f t="shared" si="20"/>
        <v>568</v>
      </c>
      <c r="C572" s="44" t="s">
        <v>1195</v>
      </c>
      <c r="D572" s="44" t="s">
        <v>1196</v>
      </c>
      <c r="E572" s="44" t="s">
        <v>887</v>
      </c>
      <c r="F572" s="67">
        <v>13</v>
      </c>
      <c r="G572" s="44">
        <v>0</v>
      </c>
      <c r="H572" s="44" t="s">
        <v>1166</v>
      </c>
      <c r="I572" s="44"/>
      <c r="K572" s="19" t="str">
        <f t="shared" si="18"/>
        <v>INSERT INTO `comm_constant` (`ID`,`CONSTANT_TYPE`,`CONSTANT_TYPE_NAME`,`CONSTANT_NAME`,`CONSTANT_VALUE`,`DEL_FLG`,`CRT_ID`,`CRT_TIME`,`UPD_ID`,`UPD_TIME`,`ACT_ID`,`ACT_TIME`,`VER`) VALUES ('568', 'TranType', '业务类型', '退货入库', '13', '0', 'admin', now(), 'admin', now(), 'admin', now(), 1);</v>
      </c>
    </row>
    <row r="573" spans="2:11">
      <c r="B573" s="44">
        <f t="shared" si="20"/>
        <v>569</v>
      </c>
      <c r="C573" s="44" t="s">
        <v>1195</v>
      </c>
      <c r="D573" s="44" t="s">
        <v>1196</v>
      </c>
      <c r="E573" s="44" t="s">
        <v>888</v>
      </c>
      <c r="F573" s="67">
        <v>14</v>
      </c>
      <c r="G573" s="44">
        <v>0</v>
      </c>
      <c r="H573" s="44" t="s">
        <v>1166</v>
      </c>
      <c r="I573" s="44"/>
      <c r="K573" s="19" t="str">
        <f t="shared" si="18"/>
        <v>INSERT INTO `comm_constant` (`ID`,`CONSTANT_TYPE`,`CONSTANT_TYPE_NAME`,`CONSTANT_NAME`,`CONSTANT_VALUE`,`DEL_FLG`,`CRT_ID`,`CRT_TIME`,`UPD_ID`,`UPD_TIME`,`ACT_ID`,`ACT_TIME`,`VER`) VALUES ('569', 'TranType', '业务类型', '样品入库', '14', '0', 'admin', now(), 'admin', now(), 'admin', now(), 1);</v>
      </c>
    </row>
    <row r="574" spans="2:11">
      <c r="B574" s="44">
        <f t="shared" si="20"/>
        <v>570</v>
      </c>
      <c r="C574" s="44" t="s">
        <v>1195</v>
      </c>
      <c r="D574" s="44" t="s">
        <v>1196</v>
      </c>
      <c r="E574" s="44" t="s">
        <v>889</v>
      </c>
      <c r="F574" s="67">
        <v>21</v>
      </c>
      <c r="G574" s="44">
        <v>0</v>
      </c>
      <c r="H574" s="44" t="s">
        <v>1166</v>
      </c>
      <c r="I574" s="44"/>
      <c r="K574" s="19" t="str">
        <f t="shared" si="18"/>
        <v>INSERT INTO `comm_constant` (`ID`,`CONSTANT_TYPE`,`CONSTANT_TYPE_NAME`,`CONSTANT_NAME`,`CONSTANT_VALUE`,`DEL_FLG`,`CRT_ID`,`CRT_TIME`,`UPD_ID`,`UPD_TIME`,`ACT_ID`,`ACT_TIME`,`VER`) VALUES ('570', 'TranType', '业务类型', '销售出库', '21', '0', 'admin', now(), 'admin', now(), 'admin', now(), 1);</v>
      </c>
    </row>
    <row r="575" spans="2:11">
      <c r="B575" s="44">
        <f t="shared" si="20"/>
        <v>571</v>
      </c>
      <c r="C575" s="44" t="s">
        <v>1195</v>
      </c>
      <c r="D575" s="44" t="s">
        <v>1196</v>
      </c>
      <c r="E575" s="44" t="s">
        <v>890</v>
      </c>
      <c r="F575" s="67">
        <v>22</v>
      </c>
      <c r="G575" s="44">
        <v>0</v>
      </c>
      <c r="H575" s="44" t="s">
        <v>1166</v>
      </c>
      <c r="I575" s="44"/>
      <c r="K575" s="19" t="str">
        <f t="shared" si="18"/>
        <v>INSERT INTO `comm_constant` (`ID`,`CONSTANT_TYPE`,`CONSTANT_TYPE_NAME`,`CONSTANT_NAME`,`CONSTANT_VALUE`,`DEL_FLG`,`CRT_ID`,`CRT_TIME`,`UPD_ID`,`UPD_TIME`,`ACT_ID`,`ACT_TIME`,`VER`) VALUES ('571', 'TranType', '业务类型', '调整出库', '22', '0', 'admin', now(), 'admin', now(), 'admin', now(), 1);</v>
      </c>
    </row>
    <row r="576" spans="2:11">
      <c r="B576" s="44">
        <f t="shared" si="20"/>
        <v>572</v>
      </c>
      <c r="C576" s="44" t="s">
        <v>1195</v>
      </c>
      <c r="D576" s="44" t="s">
        <v>1196</v>
      </c>
      <c r="E576" s="44" t="s">
        <v>891</v>
      </c>
      <c r="F576" s="67">
        <v>23</v>
      </c>
      <c r="G576" s="44">
        <v>0</v>
      </c>
      <c r="H576" s="44" t="s">
        <v>1166</v>
      </c>
      <c r="I576" s="44"/>
      <c r="K576" s="19" t="str">
        <f t="shared" si="18"/>
        <v>INSERT INTO `comm_constant` (`ID`,`CONSTANT_TYPE`,`CONSTANT_TYPE_NAME`,`CONSTANT_NAME`,`CONSTANT_VALUE`,`DEL_FLG`,`CRT_ID`,`CRT_TIME`,`UPD_ID`,`UPD_TIME`,`ACT_ID`,`ACT_TIME`,`VER`) VALUES ('572', 'TranType', '业务类型', '退货出库', '23', '0', 'admin', now(), 'admin', now(), 'admin', now(), 1);</v>
      </c>
    </row>
    <row r="577" spans="2:11">
      <c r="B577" s="44">
        <f t="shared" si="20"/>
        <v>573</v>
      </c>
      <c r="C577" s="44" t="s">
        <v>1195</v>
      </c>
      <c r="D577" s="44" t="s">
        <v>1196</v>
      </c>
      <c r="E577" s="44" t="s">
        <v>892</v>
      </c>
      <c r="F577" s="67">
        <v>24</v>
      </c>
      <c r="G577" s="44">
        <v>0</v>
      </c>
      <c r="H577" s="44" t="s">
        <v>1166</v>
      </c>
      <c r="I577" s="44"/>
      <c r="K577" s="19" t="str">
        <f t="shared" si="18"/>
        <v>INSERT INTO `comm_constant` (`ID`,`CONSTANT_TYPE`,`CONSTANT_TYPE_NAME`,`CONSTANT_NAME`,`CONSTANT_VALUE`,`DEL_FLG`,`CRT_ID`,`CRT_TIME`,`UPD_ID`,`UPD_TIME`,`ACT_ID`,`ACT_TIME`,`VER`) VALUES ('573', 'TranType', '业务类型', '样品出库', '24', '0', 'admin', now(), 'admin', now(), 'admin', now(), 1);</v>
      </c>
    </row>
    <row r="578" spans="2:11">
      <c r="B578" s="44">
        <f t="shared" si="20"/>
        <v>574</v>
      </c>
      <c r="C578" s="44" t="s">
        <v>1195</v>
      </c>
      <c r="D578" s="44" t="s">
        <v>1196</v>
      </c>
      <c r="E578" s="44" t="s">
        <v>893</v>
      </c>
      <c r="F578" s="67">
        <v>41</v>
      </c>
      <c r="G578" s="44">
        <v>0</v>
      </c>
      <c r="H578" s="44" t="s">
        <v>1166</v>
      </c>
      <c r="I578" s="44"/>
      <c r="K578" s="19" t="str">
        <f t="shared" si="18"/>
        <v>INSERT INTO `comm_constant` (`ID`,`CONSTANT_TYPE`,`CONSTANT_TYPE_NAME`,`CONSTANT_NAME`,`CONSTANT_VALUE`,`DEL_FLG`,`CRT_ID`,`CRT_TIME`,`UPD_ID`,`UPD_TIME`,`ACT_ID`,`ACT_TIME`,`VER`) VALUES ('574', 'TranType', '业务类型', '卖家占用', '41', '0', 'admin', now(), 'admin', now(), 'admin', now(), 1);</v>
      </c>
    </row>
    <row r="579" spans="2:11">
      <c r="B579" s="44">
        <f t="shared" si="20"/>
        <v>575</v>
      </c>
      <c r="C579" s="44" t="s">
        <v>1195</v>
      </c>
      <c r="D579" s="44" t="s">
        <v>1196</v>
      </c>
      <c r="E579" s="44" t="s">
        <v>894</v>
      </c>
      <c r="F579" s="67">
        <v>42</v>
      </c>
      <c r="G579" s="44">
        <v>0</v>
      </c>
      <c r="H579" s="44" t="s">
        <v>1166</v>
      </c>
      <c r="I579" s="44"/>
      <c r="K579" s="19" t="str">
        <f t="shared" si="18"/>
        <v>INSERT INTO `comm_constant` (`ID`,`CONSTANT_TYPE`,`CONSTANT_TYPE_NAME`,`CONSTANT_NAME`,`CONSTANT_VALUE`,`DEL_FLG`,`CRT_ID`,`CRT_TIME`,`UPD_ID`,`UPD_TIME`,`ACT_ID`,`ACT_TIME`,`VER`) VALUES ('575', 'TranType', '业务类型', '供应商占用', '42', '0', 'admin', now(), 'admin', now(), 'admin', now(), 1);</v>
      </c>
    </row>
    <row r="580" spans="2:11">
      <c r="B580" s="44">
        <f t="shared" si="20"/>
        <v>576</v>
      </c>
      <c r="C580" s="44" t="s">
        <v>1195</v>
      </c>
      <c r="D580" s="44" t="s">
        <v>1196</v>
      </c>
      <c r="E580" s="44" t="s">
        <v>895</v>
      </c>
      <c r="F580" s="67">
        <v>43</v>
      </c>
      <c r="G580" s="44">
        <v>0</v>
      </c>
      <c r="H580" s="44" t="s">
        <v>1166</v>
      </c>
      <c r="I580" s="44"/>
      <c r="K580" s="19" t="str">
        <f t="shared" si="18"/>
        <v>INSERT INTO `comm_constant` (`ID`,`CONSTANT_TYPE`,`CONSTANT_TYPE_NAME`,`CONSTANT_NAME`,`CONSTANT_VALUE`,`DEL_FLG`,`CRT_ID`,`CRT_TIME`,`UPD_ID`,`UPD_TIME`,`ACT_ID`,`ACT_TIME`,`VER`) VALUES ('576', 'TranType', '业务类型', '卖家占用减少', '43', '0', 'admin', now(), 'admin', now(), 'admin', now(), 1);</v>
      </c>
    </row>
    <row r="581" spans="2:11">
      <c r="B581" s="44">
        <f t="shared" si="20"/>
        <v>577</v>
      </c>
      <c r="C581" s="44" t="s">
        <v>1195</v>
      </c>
      <c r="D581" s="44" t="s">
        <v>1196</v>
      </c>
      <c r="E581" s="44" t="s">
        <v>896</v>
      </c>
      <c r="F581" s="67">
        <v>44</v>
      </c>
      <c r="G581" s="44">
        <v>0</v>
      </c>
      <c r="H581" s="44" t="s">
        <v>1166</v>
      </c>
      <c r="I581" s="44"/>
      <c r="K581" s="19" t="str">
        <f t="shared" si="18"/>
        <v>INSERT INTO `comm_constant` (`ID`,`CONSTANT_TYPE`,`CONSTANT_TYPE_NAME`,`CONSTANT_NAME`,`CONSTANT_VALUE`,`DEL_FLG`,`CRT_ID`,`CRT_TIME`,`UPD_ID`,`UPD_TIME`,`ACT_ID`,`ACT_TIME`,`VER`) VALUES ('577', 'TranType', '业务类型', '供应商占用减少', '44', '0', 'admin', now(), 'admin', now(), 'admin', now(), 1);</v>
      </c>
    </row>
    <row r="582" spans="2:11">
      <c r="B582" s="44">
        <f t="shared" si="20"/>
        <v>578</v>
      </c>
      <c r="C582" s="44" t="s">
        <v>1195</v>
      </c>
      <c r="D582" s="44" t="s">
        <v>1196</v>
      </c>
      <c r="E582" s="44" t="s">
        <v>897</v>
      </c>
      <c r="F582" s="67">
        <v>45</v>
      </c>
      <c r="G582" s="44">
        <v>0</v>
      </c>
      <c r="H582" s="44" t="s">
        <v>1166</v>
      </c>
      <c r="I582" s="44"/>
      <c r="K582" s="19" t="str">
        <f t="shared" si="18"/>
        <v>INSERT INTO `comm_constant` (`ID`,`CONSTANT_TYPE`,`CONSTANT_TYPE_NAME`,`CONSTANT_NAME`,`CONSTANT_VALUE`,`DEL_FLG`,`CRT_ID`,`CRT_TIME`,`UPD_ID`,`UPD_TIME`,`ACT_ID`,`ACT_TIME`,`VER`) VALUES ('578', 'TranType', '业务类型', '买手囤货', '45', '0', 'admin', now(), 'admin', now(), 'admin', now(), 1);</v>
      </c>
    </row>
    <row r="583" spans="2:11">
      <c r="B583" s="44">
        <f t="shared" si="20"/>
        <v>579</v>
      </c>
      <c r="C583" s="44" t="s">
        <v>1195</v>
      </c>
      <c r="D583" s="44" t="s">
        <v>1196</v>
      </c>
      <c r="E583" s="44" t="s">
        <v>898</v>
      </c>
      <c r="F583" s="67">
        <v>46</v>
      </c>
      <c r="G583" s="44">
        <v>0</v>
      </c>
      <c r="H583" s="44" t="s">
        <v>1166</v>
      </c>
      <c r="I583" s="44"/>
      <c r="K583" s="19" t="str">
        <f t="shared" si="18"/>
        <v>INSERT INTO `comm_constant` (`ID`,`CONSTANT_TYPE`,`CONSTANT_TYPE_NAME`,`CONSTANT_NAME`,`CONSTANT_VALUE`,`DEL_FLG`,`CRT_ID`,`CRT_TIME`,`UPD_ID`,`UPD_TIME`,`ACT_ID`,`ACT_TIME`,`VER`) VALUES ('579', 'TranType', '业务类型', '出库取消', '46', '0', 'admin', now(), 'admin', now(), 'admin', now(), 1);</v>
      </c>
    </row>
    <row r="584" spans="2:11">
      <c r="B584" s="44">
        <f t="shared" si="20"/>
        <v>580</v>
      </c>
      <c r="C584" s="44" t="s">
        <v>1197</v>
      </c>
      <c r="D584" s="44" t="s">
        <v>1198</v>
      </c>
      <c r="E584" s="44" t="s">
        <v>1199</v>
      </c>
      <c r="F584" s="67">
        <v>1</v>
      </c>
      <c r="G584" s="44">
        <v>0</v>
      </c>
      <c r="H584" s="44" t="s">
        <v>1200</v>
      </c>
      <c r="I584" s="44"/>
      <c r="K584" s="19" t="str">
        <f t="shared" si="18"/>
        <v>INSERT INTO `comm_constant` (`ID`,`CONSTANT_TYPE`,`CONSTANT_TYPE_NAME`,`CONSTANT_NAME`,`CONSTANT_VALUE`,`DEL_FLG`,`CRT_ID`,`CRT_TIME`,`UPD_ID`,`UPD_TIME`,`ACT_ID`,`ACT_TIME`,`VER`) VALUES ('580', 'ReturnSource', '退货数据来源', '云冻品平台', '1', '0', 'admin', now(), 'admin', now(), 'admin', now(), 1);</v>
      </c>
    </row>
    <row r="585" spans="2:11">
      <c r="B585" s="44">
        <f t="shared" si="20"/>
        <v>581</v>
      </c>
      <c r="C585" s="44" t="s">
        <v>1197</v>
      </c>
      <c r="D585" s="44" t="s">
        <v>1198</v>
      </c>
      <c r="E585" s="45" t="s">
        <v>1201</v>
      </c>
      <c r="F585" s="67">
        <v>2</v>
      </c>
      <c r="G585" s="44">
        <v>0</v>
      </c>
      <c r="H585" s="44" t="s">
        <v>1200</v>
      </c>
      <c r="I585" s="44"/>
      <c r="K585" s="19" t="str">
        <f t="shared" si="18"/>
        <v>INSERT INTO `comm_constant` (`ID`,`CONSTANT_TYPE`,`CONSTANT_TYPE_NAME`,`CONSTANT_NAME`,`CONSTANT_VALUE`,`DEL_FLG`,`CRT_ID`,`CRT_TIME`,`UPD_ID`,`UPD_TIME`,`ACT_ID`,`ACT_TIME`,`VER`) VALUES ('581', 'ReturnSource', '退货数据来源', '云冻品B2B平台', '2', '0', 'admin', now(), 'admin', now(), 'admin', now(), 1);</v>
      </c>
    </row>
    <row r="586" spans="2:11">
      <c r="B586" s="44">
        <f t="shared" si="20"/>
        <v>582</v>
      </c>
      <c r="C586" s="44" t="s">
        <v>1197</v>
      </c>
      <c r="D586" s="44" t="s">
        <v>1198</v>
      </c>
      <c r="E586" s="44" t="s">
        <v>1202</v>
      </c>
      <c r="F586" s="67">
        <v>3</v>
      </c>
      <c r="G586" s="44">
        <v>0</v>
      </c>
      <c r="H586" s="44" t="s">
        <v>1200</v>
      </c>
      <c r="I586" s="44"/>
      <c r="K586" s="19" t="str">
        <f t="shared" si="18"/>
        <v>INSERT INTO `comm_constant` (`ID`,`CONSTANT_TYPE`,`CONSTANT_TYPE_NAME`,`CONSTANT_NAME`,`CONSTANT_VALUE`,`DEL_FLG`,`CRT_ID`,`CRT_TIME`,`UPD_ID`,`UPD_TIME`,`ACT_ID`,`ACT_TIME`,`VER`) VALUES ('582', 'ReturnSource', '退货数据来源', '微商城', '3', '0', 'admin', now(), 'admin', now(), 'admin', now(), 1);</v>
      </c>
    </row>
    <row r="587" spans="2:11">
      <c r="B587" s="44">
        <f t="shared" si="20"/>
        <v>583</v>
      </c>
      <c r="C587" s="44" t="s">
        <v>1197</v>
      </c>
      <c r="D587" s="44" t="s">
        <v>1198</v>
      </c>
      <c r="E587" s="44" t="s">
        <v>1203</v>
      </c>
      <c r="F587" s="67">
        <v>4</v>
      </c>
      <c r="G587" s="44">
        <v>0</v>
      </c>
      <c r="H587" s="44" t="s">
        <v>1200</v>
      </c>
      <c r="I587" s="44"/>
      <c r="K587" s="19" t="str">
        <f t="shared" si="18"/>
        <v>INSERT INTO `comm_constant` (`ID`,`CONSTANT_TYPE`,`CONSTANT_TYPE_NAME`,`CONSTANT_NAME`,`CONSTANT_VALUE`,`DEL_FLG`,`CRT_ID`,`CRT_TIME`,`UPD_ID`,`UPD_TIME`,`ACT_ID`,`ACT_TIME`,`VER`) VALUES ('583', 'ReturnSource', '退货数据来源', '买手APP', '4', '0', 'admin', now(), 'admin', now(), 'admin', now(), 1);</v>
      </c>
    </row>
    <row r="588" spans="2:11">
      <c r="B588" s="44">
        <f t="shared" si="20"/>
        <v>584</v>
      </c>
      <c r="C588" s="88" t="s">
        <v>1197</v>
      </c>
      <c r="D588" s="88" t="s">
        <v>1198</v>
      </c>
      <c r="E588" s="89" t="s">
        <v>1367</v>
      </c>
      <c r="F588" s="90">
        <v>5</v>
      </c>
      <c r="G588" s="88">
        <v>0</v>
      </c>
      <c r="H588" s="44" t="s">
        <v>1200</v>
      </c>
      <c r="I588" s="44"/>
      <c r="K588" s="19" t="str">
        <f t="shared" si="18"/>
        <v>INSERT INTO `comm_constant` (`ID`,`CONSTANT_TYPE`,`CONSTANT_TYPE_NAME`,`CONSTANT_NAME`,`CONSTANT_VALUE`,`DEL_FLG`,`CRT_ID`,`CRT_TIME`,`UPD_ID`,`UPD_TIME`,`ACT_ID`,`ACT_TIME`,`VER`) VALUES ('584', 'ReturnSource', '退货数据来源', '新微商城平台', '5', '0', 'admin', now(), 'admin', now(), 'admin', now(), 1);</v>
      </c>
    </row>
    <row r="589" spans="2:11">
      <c r="B589" s="44">
        <f t="shared" si="20"/>
        <v>585</v>
      </c>
      <c r="C589" s="44" t="s">
        <v>1473</v>
      </c>
      <c r="D589" s="44" t="s">
        <v>1475</v>
      </c>
      <c r="E589" s="94" t="s">
        <v>1369</v>
      </c>
      <c r="F589" s="95" t="s">
        <v>1368</v>
      </c>
      <c r="G589" s="44">
        <v>0</v>
      </c>
      <c r="H589" s="44" t="s">
        <v>1200</v>
      </c>
      <c r="I589" s="44"/>
      <c r="K589" s="19" t="str">
        <f t="shared" si="18"/>
        <v>INSERT INTO `comm_constant` (`ID`,`CONSTANT_TYPE`,`CONSTANT_TYPE_NAME`,`CONSTANT_NAME`,`CONSTANT_VALUE`,`DEL_FLG`,`CRT_ID`,`CRT_TIME`,`UPD_ID`,`UPD_TIME`,`ACT_ID`,`ACT_TIME`,`VER`) VALUES ('585', 'ReturnSource', '退货数据来源', '买家APP', '6', '0', 'admin', now(), 'admin', now(), 'admin', now(), 1);</v>
      </c>
    </row>
    <row r="590" spans="2:11">
      <c r="B590" s="44">
        <f t="shared" si="20"/>
        <v>586</v>
      </c>
      <c r="C590" s="44" t="s">
        <v>1474</v>
      </c>
      <c r="D590" s="44" t="s">
        <v>1475</v>
      </c>
      <c r="E590" s="94" t="s">
        <v>1476</v>
      </c>
      <c r="F590" s="95" t="s">
        <v>1477</v>
      </c>
      <c r="G590" s="44">
        <v>0</v>
      </c>
      <c r="H590" s="44" t="s">
        <v>1200</v>
      </c>
      <c r="I590" s="44"/>
      <c r="K590" s="19" t="str">
        <f t="shared" si="18"/>
        <v>INSERT INTO `comm_constant` (`ID`,`CONSTANT_TYPE`,`CONSTANT_TYPE_NAME`,`CONSTANT_NAME`,`CONSTANT_VALUE`,`DEL_FLG`,`CRT_ID`,`CRT_TIME`,`UPD_ID`,`UPD_TIME`,`ACT_ID`,`ACT_TIME`,`VER`) VALUES ('586', 'ReturnSource', '退货数据来源', '冻期所', '7', '0', 'admin', now(), 'admin', now(), 'admin', now(), 1);</v>
      </c>
    </row>
    <row r="591" spans="2:11">
      <c r="B591" s="44">
        <f t="shared" si="20"/>
        <v>587</v>
      </c>
      <c r="C591" s="44" t="s">
        <v>1197</v>
      </c>
      <c r="D591" s="44" t="s">
        <v>1198</v>
      </c>
      <c r="E591" s="44" t="s">
        <v>1204</v>
      </c>
      <c r="F591" s="67">
        <v>99</v>
      </c>
      <c r="G591" s="44">
        <v>0</v>
      </c>
      <c r="H591" s="44" t="s">
        <v>1200</v>
      </c>
      <c r="I591" s="44"/>
      <c r="K591" s="19" t="str">
        <f t="shared" ref="K591:K598" si="21">"INSERT INTO `comm_constant` (`ID`,`CONSTANT_TYPE`,`CONSTANT_TYPE_NAME`,`CONSTANT_NAME`,`CONSTANT_VALUE`,`DEL_FLG`,`CRT_ID`,`CRT_TIME`,`UPD_ID`,`UPD_TIME`,`ACT_ID`,`ACT_TIME`,`VER`) VALUES ("&amp;IF(B591="","NULL","'"&amp;B591&amp;"'")&amp;", "&amp;IF(C591="","NULL","'"&amp;C591&amp;"'")&amp;", "&amp;IF(D591="","NULL","'"&amp;D591&amp;"'")&amp;", "&amp;IF(E591="","NULL","'"&amp;E591&amp;"'")&amp;", "&amp;IF(F591="","NULL","'"&amp;F591&amp;"'")&amp;", "&amp;IF(G591="","NULL","'"&amp;G591&amp;"'")&amp;", 'admin', now(), 'admin', now(), 'admin', now(), 1);"</f>
        <v>INSERT INTO `comm_constant` (`ID`,`CONSTANT_TYPE`,`CONSTANT_TYPE_NAME`,`CONSTANT_NAME`,`CONSTANT_VALUE`,`DEL_FLG`,`CRT_ID`,`CRT_TIME`,`UPD_ID`,`UPD_TIME`,`ACT_ID`,`ACT_TIME`,`VER`) VALUES ('587', 'ReturnSource', '退货数据来源', '司机PDA', '99', '0', 'admin', now(), 'admin', now(), 'admin', now(), 1);</v>
      </c>
    </row>
    <row r="592" spans="2:11">
      <c r="B592" s="44">
        <f t="shared" si="20"/>
        <v>588</v>
      </c>
      <c r="C592" s="44" t="s">
        <v>1205</v>
      </c>
      <c r="D592" s="44" t="s">
        <v>1206</v>
      </c>
      <c r="E592" s="44" t="s">
        <v>1207</v>
      </c>
      <c r="F592" s="67">
        <v>1</v>
      </c>
      <c r="G592" s="44">
        <v>0</v>
      </c>
      <c r="H592" s="44" t="s">
        <v>1200</v>
      </c>
      <c r="I592" s="44"/>
      <c r="K592" s="19" t="str">
        <f t="shared" si="21"/>
        <v>INSERT INTO `comm_constant` (`ID`,`CONSTANT_TYPE`,`CONSTANT_TYPE_NAME`,`CONSTANT_NAME`,`CONSTANT_VALUE`,`DEL_FLG`,`CRT_ID`,`CRT_TIME`,`UPD_ID`,`UPD_TIME`,`ACT_ID`,`ACT_TIME`,`VER`) VALUES ('588', 'OrderComplainReason', '订单投诉原因', '承诺的没做到', '1', '0', 'admin', now(), 'admin', now(), 'admin', now(), 1);</v>
      </c>
    </row>
    <row r="593" spans="2:11">
      <c r="B593" s="44">
        <f t="shared" si="20"/>
        <v>589</v>
      </c>
      <c r="C593" s="44" t="s">
        <v>1205</v>
      </c>
      <c r="D593" s="44" t="s">
        <v>1206</v>
      </c>
      <c r="E593" s="44" t="s">
        <v>1208</v>
      </c>
      <c r="F593" s="67">
        <v>2</v>
      </c>
      <c r="G593" s="44">
        <v>0</v>
      </c>
      <c r="H593" s="44" t="s">
        <v>1200</v>
      </c>
      <c r="I593" s="44"/>
      <c r="K593" s="19" t="str">
        <f t="shared" si="21"/>
        <v>INSERT INTO `comm_constant` (`ID`,`CONSTANT_TYPE`,`CONSTANT_TYPE_NAME`,`CONSTANT_NAME`,`CONSTANT_VALUE`,`DEL_FLG`,`CRT_ID`,`CRT_TIME`,`UPD_ID`,`UPD_TIME`,`ACT_ID`,`ACT_TIME`,`VER`) VALUES ('589', 'OrderComplainReason', '订单投诉原因', '未按成交价格进行交易', '2', '0', 'admin', now(), 'admin', now(), 'admin', now(), 1);</v>
      </c>
    </row>
    <row r="594" spans="2:11">
      <c r="B594" s="44">
        <f t="shared" si="20"/>
        <v>590</v>
      </c>
      <c r="C594" s="44" t="s">
        <v>1205</v>
      </c>
      <c r="D594" s="44" t="s">
        <v>1206</v>
      </c>
      <c r="E594" s="44" t="s">
        <v>1209</v>
      </c>
      <c r="F594" s="67">
        <v>3</v>
      </c>
      <c r="G594" s="44">
        <v>0</v>
      </c>
      <c r="H594" s="44" t="s">
        <v>1200</v>
      </c>
      <c r="I594" s="44"/>
      <c r="K594" s="19" t="str">
        <f t="shared" si="21"/>
        <v>INSERT INTO `comm_constant` (`ID`,`CONSTANT_TYPE`,`CONSTANT_TYPE_NAME`,`CONSTANT_NAME`,`CONSTANT_VALUE`,`DEL_FLG`,`CRT_ID`,`CRT_TIME`,`UPD_ID`,`UPD_TIME`,`ACT_ID`,`ACT_TIME`,`VER`) VALUES ('590', 'OrderComplainReason', '订单投诉原因', '未按约定时间发货', '3', '0', 'admin', now(), 'admin', now(), 'admin', now(), 1);</v>
      </c>
    </row>
    <row r="595" spans="2:11">
      <c r="B595" s="44">
        <f t="shared" si="20"/>
        <v>591</v>
      </c>
      <c r="C595" s="44" t="s">
        <v>1205</v>
      </c>
      <c r="D595" s="44" t="s">
        <v>1206</v>
      </c>
      <c r="E595" s="44" t="s">
        <v>1210</v>
      </c>
      <c r="F595" s="67">
        <v>4</v>
      </c>
      <c r="G595" s="44">
        <v>0</v>
      </c>
      <c r="H595" s="44" t="s">
        <v>1200</v>
      </c>
      <c r="I595" s="44"/>
      <c r="K595" s="19" t="str">
        <f t="shared" si="21"/>
        <v>INSERT INTO `comm_constant` (`ID`,`CONSTANT_TYPE`,`CONSTANT_TYPE_NAME`,`CONSTANT_NAME`,`CONSTANT_VALUE`,`DEL_FLG`,`CRT_ID`,`CRT_TIME`,`UPD_ID`,`UPD_TIME`,`ACT_ID`,`ACT_TIME`,`VER`) VALUES ('591', 'OrderComplainReason', '订单投诉原因', '违反交易流程', '4', '0', 'admin', now(), 'admin', now(), 'admin', now(), 1);</v>
      </c>
    </row>
    <row r="596" spans="2:11">
      <c r="B596" s="44">
        <f t="shared" si="20"/>
        <v>592</v>
      </c>
      <c r="C596" s="44" t="s">
        <v>1211</v>
      </c>
      <c r="D596" s="44" t="s">
        <v>1212</v>
      </c>
      <c r="E596" s="44" t="s">
        <v>1213</v>
      </c>
      <c r="F596" s="67">
        <v>1</v>
      </c>
      <c r="G596" s="44">
        <v>0</v>
      </c>
      <c r="H596" s="44" t="s">
        <v>1200</v>
      </c>
      <c r="I596" s="44"/>
      <c r="K596" s="19" t="str">
        <f t="shared" si="21"/>
        <v>INSERT INTO `comm_constant` (`ID`,`CONSTANT_TYPE`,`CONSTANT_TYPE_NAME`,`CONSTANT_NAME`,`CONSTANT_VALUE`,`DEL_FLG`,`CRT_ID`,`CRT_TIME`,`UPD_ID`,`UPD_TIME`,`ACT_ID`,`ACT_TIME`,`VER`) VALUES ('592', 'OrderComplainStatus', '订单投诉状态', '投诉中', '1', '0', 'admin', now(), 'admin', now(), 'admin', now(), 1);</v>
      </c>
    </row>
    <row r="597" spans="2:11">
      <c r="B597" s="44">
        <f t="shared" si="20"/>
        <v>593</v>
      </c>
      <c r="C597" s="44" t="s">
        <v>1211</v>
      </c>
      <c r="D597" s="44" t="s">
        <v>1212</v>
      </c>
      <c r="E597" s="44" t="s">
        <v>1214</v>
      </c>
      <c r="F597" s="67">
        <v>2</v>
      </c>
      <c r="G597" s="44">
        <v>0</v>
      </c>
      <c r="H597" s="44" t="s">
        <v>1200</v>
      </c>
      <c r="I597" s="44"/>
      <c r="K597" s="19" t="str">
        <f t="shared" si="21"/>
        <v>INSERT INTO `comm_constant` (`ID`,`CONSTANT_TYPE`,`CONSTANT_TYPE_NAME`,`CONSTANT_NAME`,`CONSTANT_VALUE`,`DEL_FLG`,`CRT_ID`,`CRT_TIME`,`UPD_ID`,`UPD_TIME`,`ACT_ID`,`ACT_TIME`,`VER`) VALUES ('593', 'OrderComplainStatus', '订单投诉状态', '处理中', '2', '0', 'admin', now(), 'admin', now(), 'admin', now(), 1);</v>
      </c>
    </row>
    <row r="598" spans="2:11">
      <c r="B598" s="44">
        <f t="shared" si="20"/>
        <v>594</v>
      </c>
      <c r="C598" s="44" t="s">
        <v>1211</v>
      </c>
      <c r="D598" s="44" t="s">
        <v>1212</v>
      </c>
      <c r="E598" s="44" t="s">
        <v>1215</v>
      </c>
      <c r="F598" s="67">
        <v>3</v>
      </c>
      <c r="G598" s="44">
        <v>0</v>
      </c>
      <c r="H598" s="44" t="s">
        <v>1200</v>
      </c>
      <c r="I598" s="44"/>
      <c r="K598" s="19" t="str">
        <f t="shared" si="21"/>
        <v>INSERT INTO `comm_constant` (`ID`,`CONSTANT_TYPE`,`CONSTANT_TYPE_NAME`,`CONSTANT_NAME`,`CONSTANT_VALUE`,`DEL_FLG`,`CRT_ID`,`CRT_TIME`,`UPD_ID`,`UPD_TIME`,`ACT_ID`,`ACT_TIME`,`VER`) VALUES ('594', 'OrderComplainStatus', '订单投诉状态', '处理完', '3', '0', 'admin', now(), 'admin', now(), 'admin', now(), 1);</v>
      </c>
    </row>
    <row r="599" spans="2:11">
      <c r="B599" s="20" t="s">
        <v>49</v>
      </c>
      <c r="C599" s="21"/>
      <c r="D599" s="21"/>
      <c r="E599" s="21"/>
      <c r="F599" s="21"/>
      <c r="G599" s="21"/>
      <c r="H599" s="21"/>
      <c r="I599" s="23"/>
      <c r="K599" s="19"/>
    </row>
    <row r="600" spans="2:11">
      <c r="B600" s="22"/>
      <c r="C600" s="22"/>
      <c r="D600" s="22"/>
      <c r="E600" s="22"/>
      <c r="F600" s="22"/>
      <c r="G600" s="22"/>
      <c r="H600" s="22"/>
      <c r="I600" s="24"/>
    </row>
    <row r="601" spans="2:11">
      <c r="B601" s="22"/>
      <c r="C601" s="22"/>
      <c r="D601" s="22"/>
      <c r="E601" s="22"/>
      <c r="F601" s="22"/>
      <c r="G601" s="22"/>
      <c r="H601" s="22"/>
      <c r="I601" s="24"/>
    </row>
    <row r="602" spans="2:11">
      <c r="B602" s="22"/>
      <c r="C602" s="22"/>
      <c r="D602" s="22"/>
      <c r="E602" s="22"/>
      <c r="F602" s="22"/>
      <c r="G602" s="22"/>
      <c r="H602" s="22"/>
      <c r="I602" s="24"/>
    </row>
  </sheetData>
  <phoneticPr fontId="14" type="noConversion"/>
  <pageMargins left="0.69930555555555596" right="0.69930555555555596" top="0.75" bottom="0.75" header="0.3" footer="0.3"/>
  <pageSetup paperSize="9" orientation="portrait" horizontalDpi="300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1:H65"/>
  <sheetViews>
    <sheetView zoomScale="85" zoomScaleNormal="85" zoomScalePageLayoutView="85" workbookViewId="0">
      <pane xSplit="1" ySplit="4" topLeftCell="B38" activePane="bottomRight" state="frozen"/>
      <selection pane="topRight" activeCell="B1" sqref="B1"/>
      <selection pane="bottomLeft" activeCell="A5" sqref="A5"/>
      <selection pane="bottomRight" activeCell="B61" sqref="B61"/>
    </sheetView>
  </sheetViews>
  <sheetFormatPr defaultColWidth="9" defaultRowHeight="13.5"/>
  <cols>
    <col min="1" max="1" width="1.875" customWidth="1"/>
    <col min="2" max="2" width="25.5" customWidth="1"/>
    <col min="3" max="3" width="43.5" customWidth="1"/>
    <col min="4" max="4" width="29.625" customWidth="1"/>
    <col min="5" max="5" width="12" customWidth="1"/>
    <col min="6" max="6" width="13.125" customWidth="1"/>
    <col min="7" max="7" width="36.875" customWidth="1"/>
  </cols>
  <sheetData>
    <row r="1" spans="2:8">
      <c r="B1" s="2" t="s">
        <v>35</v>
      </c>
      <c r="C1" s="3" t="s">
        <v>481</v>
      </c>
      <c r="D1" s="4" t="s">
        <v>7</v>
      </c>
    </row>
    <row r="2" spans="2:8" s="1" customFormat="1" ht="12" customHeight="1">
      <c r="B2" s="5" t="s">
        <v>482</v>
      </c>
      <c r="C2" s="5" t="s">
        <v>483</v>
      </c>
      <c r="D2" s="5" t="s">
        <v>42</v>
      </c>
      <c r="E2" s="5" t="s">
        <v>36</v>
      </c>
      <c r="F2" s="6" t="s">
        <v>62</v>
      </c>
      <c r="G2" s="6" t="s">
        <v>63</v>
      </c>
    </row>
    <row r="3" spans="2:8" s="1" customFormat="1" ht="12" customHeight="1">
      <c r="B3" s="5" t="s">
        <v>484</v>
      </c>
      <c r="C3" s="5" t="s">
        <v>485</v>
      </c>
      <c r="D3" s="5" t="s">
        <v>486</v>
      </c>
      <c r="E3" s="5" t="s">
        <v>37</v>
      </c>
      <c r="F3" s="6"/>
      <c r="G3" s="6"/>
    </row>
    <row r="4" spans="2:8" s="1" customFormat="1" ht="12" customHeight="1">
      <c r="B4" s="7" t="s">
        <v>38</v>
      </c>
      <c r="C4" s="14"/>
      <c r="D4" s="14"/>
      <c r="E4" s="7"/>
      <c r="F4" s="7"/>
      <c r="G4" s="7"/>
      <c r="H4" s="1" t="s">
        <v>487</v>
      </c>
    </row>
    <row r="5" spans="2:8">
      <c r="B5" s="8" t="s">
        <v>488</v>
      </c>
      <c r="C5" s="9" t="s">
        <v>489</v>
      </c>
      <c r="D5" s="9" t="s">
        <v>490</v>
      </c>
      <c r="E5" s="8">
        <v>0</v>
      </c>
      <c r="F5" s="8"/>
      <c r="G5" s="9" t="s">
        <v>491</v>
      </c>
      <c r="H5" t="str">
        <f>"INSERT INTO COMM_CONFIG("&amp;$B$3&amp;","&amp;$C$3&amp;","&amp;$D$3&amp;","&amp;$E$3&amp;",CRT_ID,CRT_TIME,UPD_ID,UPD_TIME,ACT_ID,ACT_TIME,VER) VALUES("&amp;IF(B5="","NULL","'"&amp;B5&amp;"'")&amp;","&amp;IF(C5="","NULL","'"&amp;C5&amp;"'")&amp;","&amp;IF(D5="","NULL","'"&amp;D5&amp;"'")&amp;","&amp;IF(E5="","NULL","'"&amp;E5&amp;"'")&amp;", 'admin', now(), 'admin', now(), 'admin', now(), 1);"</f>
        <v>INSERT INTO COMM_CONFIG(SYSTEM_KEY,SYSTEM_VALUE,SYSTEM_DESC,DEL_FLG,CRT_ID,CRT_TIME,UPD_ID,UPD_TIME,ACT_ID,ACT_TIME,VER) VALUES('sys.env','dev','系统环境区分','0', 'admin', now(), 'admin', now(), 'admin', now(), 1);</v>
      </c>
    </row>
    <row r="6" spans="2:8">
      <c r="B6" s="8" t="s">
        <v>492</v>
      </c>
      <c r="C6" s="9">
        <v>0</v>
      </c>
      <c r="D6" s="9" t="s">
        <v>493</v>
      </c>
      <c r="E6" s="8">
        <v>0</v>
      </c>
      <c r="F6" s="8"/>
      <c r="G6" s="10" t="s">
        <v>494</v>
      </c>
      <c r="H6" t="str">
        <f t="shared" ref="H6:H32" si="0">"INSERT INTO COMM_CONFIG("&amp;$B$3&amp;","&amp;$C$3&amp;","&amp;$D$3&amp;","&amp;$E$3&amp;",CRT_ID,CRT_TIME,UPD_ID,UPD_TIME,ACT_ID,ACT_TIME,VER) VALUES("&amp;IF(B6="","NULL","'"&amp;B6&amp;"'")&amp;","&amp;IF(C6="","NULL","'"&amp;C6&amp;"'")&amp;","&amp;IF(D6="","NULL","'"&amp;D6&amp;"'")&amp;","&amp;IF(E6="","NULL","'"&amp;E6&amp;"'")&amp;", 'admin', now(), 'admin', now(), 'admin', now(), 1);"</f>
        <v>INSERT INTO COMM_CONFIG(SYSTEM_KEY,SYSTEM_VALUE,SYSTEM_DESC,DEL_FLG,CRT_ID,CRT_TIME,UPD_ID,UPD_TIME,ACT_ID,ACT_TIME,VER) VALUES('sys.isDebug','0','调试开关','0', 'admin', now(), 'admin', now(), 'admin', now(), 1);</v>
      </c>
    </row>
    <row r="7" spans="2:8">
      <c r="B7" s="8" t="s">
        <v>495</v>
      </c>
      <c r="C7" s="9">
        <v>0</v>
      </c>
      <c r="D7" s="9" t="s">
        <v>496</v>
      </c>
      <c r="E7" s="8">
        <v>0</v>
      </c>
      <c r="F7" s="8"/>
      <c r="G7" s="9" t="s">
        <v>497</v>
      </c>
      <c r="H7" t="str">
        <f t="shared" si="0"/>
        <v>INSERT INTO COMM_CONFIG(SYSTEM_KEY,SYSTEM_VALUE,SYSTEM_DESC,DEL_FLG,CRT_ID,CRT_TIME,UPD_ID,UPD_TIME,ACT_ID,ACT_TIME,VER) VALUES('sys.needAuthCheck','0','权限控制开关','0', 'admin', now(), 'admin', now(), 'admin', now(), 1);</v>
      </c>
    </row>
    <row r="8" spans="2:8">
      <c r="B8" s="8" t="s">
        <v>498</v>
      </c>
      <c r="C8" s="9" t="s">
        <v>499</v>
      </c>
      <c r="D8" s="9" t="s">
        <v>500</v>
      </c>
      <c r="E8" s="8">
        <v>0</v>
      </c>
      <c r="F8" s="8" t="s">
        <v>501</v>
      </c>
      <c r="G8" s="8"/>
      <c r="H8" t="str">
        <f t="shared" si="0"/>
        <v>INSERT INTO COMM_CONFIG(SYSTEM_KEY,SYSTEM_VALUE,SYSTEM_DESC,DEL_FLG,CRT_ID,CRT_TIME,UPD_ID,UPD_TIME,ACT_ID,ACT_TIME,VER) VALUES('SMS.URL','http://sms.api.ums86.com:8899/sms/Api/Send.do','短信API地址','0', 'admin', now(), 'admin', now(), 'admin', now(), 1);</v>
      </c>
    </row>
    <row r="9" spans="2:8">
      <c r="B9" s="8" t="s">
        <v>502</v>
      </c>
      <c r="C9" s="9">
        <v>230716</v>
      </c>
      <c r="D9" s="9" t="s">
        <v>503</v>
      </c>
      <c r="E9" s="8">
        <v>0</v>
      </c>
      <c r="F9" s="8" t="s">
        <v>501</v>
      </c>
      <c r="G9" s="8"/>
      <c r="H9" t="str">
        <f t="shared" si="0"/>
        <v>INSERT INTO COMM_CONFIG(SYSTEM_KEY,SYSTEM_VALUE,SYSTEM_DESC,DEL_FLG,CRT_ID,CRT_TIME,UPD_ID,UPD_TIME,ACT_ID,ACT_TIME,VER) VALUES('SMS.SUPPLIER','230716','短信供应商编码','0', 'admin', now(), 'admin', now(), 'admin', now(), 1);</v>
      </c>
    </row>
    <row r="10" spans="2:8">
      <c r="B10" s="11" t="s">
        <v>504</v>
      </c>
      <c r="C10" s="9" t="s">
        <v>336</v>
      </c>
      <c r="D10" s="12" t="s">
        <v>505</v>
      </c>
      <c r="E10" s="8">
        <v>0</v>
      </c>
      <c r="F10" s="11"/>
      <c r="G10" s="11"/>
      <c r="H10" t="str">
        <f t="shared" si="0"/>
        <v>INSERT INTO COMM_CONFIG(SYSTEM_KEY,SYSTEM_VALUE,SYSTEM_DESC,DEL_FLG,CRT_ID,CRT_TIME,UPD_ID,UPD_TIME,ACT_ID,ACT_TIME,VER) VALUES('SMS.USER','SNK','短信用户','0', 'admin', now(), 'admin', now(), 'admin', now(), 1);</v>
      </c>
    </row>
    <row r="11" spans="2:8">
      <c r="B11" s="11" t="s">
        <v>506</v>
      </c>
      <c r="C11" s="9" t="s">
        <v>507</v>
      </c>
      <c r="D11" s="12" t="s">
        <v>508</v>
      </c>
      <c r="E11" s="8">
        <v>0</v>
      </c>
      <c r="F11" s="11"/>
      <c r="G11" s="11"/>
      <c r="H11" t="str">
        <f t="shared" si="0"/>
        <v>INSERT INTO COMM_CONFIG(SYSTEM_KEY,SYSTEM_VALUE,SYSTEM_DESC,DEL_FLG,CRT_ID,CRT_TIME,UPD_ID,UPD_TIME,ACT_ID,ACT_TIME,VER) VALUES('SMS.PWD','shennongke123456','短信密码','0', 'admin', now(), 'admin', now(), 'admin', now(), 1);</v>
      </c>
    </row>
    <row r="12" spans="2:8">
      <c r="B12" s="11" t="s">
        <v>509</v>
      </c>
      <c r="C12" s="9" t="s">
        <v>510</v>
      </c>
      <c r="D12" s="12" t="s">
        <v>511</v>
      </c>
      <c r="E12" s="8">
        <v>0</v>
      </c>
      <c r="F12" s="11"/>
      <c r="G12" s="11"/>
      <c r="H12" t="str">
        <f t="shared" si="0"/>
        <v>INSERT INTO COMM_CONFIG(SYSTEM_KEY,SYSTEM_VALUE,SYSTEM_DESC,DEL_FLG,CRT_ID,CRT_TIME,UPD_ID,UPD_TIME,ACT_ID,ACT_TIME,VER) VALUES('ftp.ip','121.196.237.87','FTP IP','0', 'admin', now(), 'admin', now(), 'admin', now(), 1);</v>
      </c>
    </row>
    <row r="13" spans="2:8">
      <c r="B13" s="11" t="s">
        <v>512</v>
      </c>
      <c r="C13" s="9" t="s">
        <v>513</v>
      </c>
      <c r="D13" s="12" t="s">
        <v>514</v>
      </c>
      <c r="E13" s="8">
        <v>0</v>
      </c>
      <c r="F13" s="11"/>
      <c r="G13" s="11"/>
      <c r="H13" t="str">
        <f t="shared" si="0"/>
        <v>INSERT INTO COMM_CONFIG(SYSTEM_KEY,SYSTEM_VALUE,SYSTEM_DESC,DEL_FLG,CRT_ID,CRT_TIME,UPD_ID,UPD_TIME,ACT_ID,ACT_TIME,VER) VALUES('ftp.user','ftp_user','FTP User','0', 'admin', now(), 'admin', now(), 'admin', now(), 1);</v>
      </c>
    </row>
    <row r="14" spans="2:8">
      <c r="B14" s="11" t="s">
        <v>515</v>
      </c>
      <c r="C14" s="9">
        <v>123456</v>
      </c>
      <c r="D14" s="12" t="s">
        <v>516</v>
      </c>
      <c r="E14" s="8">
        <v>0</v>
      </c>
      <c r="F14" s="11"/>
      <c r="G14" s="11"/>
      <c r="H14" t="str">
        <f t="shared" si="0"/>
        <v>INSERT INTO COMM_CONFIG(SYSTEM_KEY,SYSTEM_VALUE,SYSTEM_DESC,DEL_FLG,CRT_ID,CRT_TIME,UPD_ID,UPD_TIME,ACT_ID,ACT_TIME,VER) VALUES('ftp.pwd','123456','FTP PWD','0', 'admin', now(), 'admin', now(), 'admin', now(), 1);</v>
      </c>
    </row>
    <row r="15" spans="2:8">
      <c r="B15" s="11" t="s">
        <v>517</v>
      </c>
      <c r="C15" s="9" t="s">
        <v>518</v>
      </c>
      <c r="D15" s="12" t="s">
        <v>519</v>
      </c>
      <c r="E15" s="11">
        <v>0</v>
      </c>
      <c r="F15" s="11"/>
      <c r="G15" s="11"/>
      <c r="H15" t="str">
        <f t="shared" si="0"/>
        <v>INSERT INTO COMM_CONFIG(SYSTEM_KEY,SYSTEM_VALUE,SYSTEM_DESC,DEL_FLG,CRT_ID,CRT_TIME,UPD_ID,UPD_TIME,ACT_ID,ACT_TIME,VER) VALUES('ftp.http.url','http://t-bms.xianchida.com/msk-image','文件服务器http访问url','0', 'admin', now(), 'admin', now(), 'admin', now(), 1);</v>
      </c>
    </row>
    <row r="16" spans="2:8">
      <c r="B16" s="11" t="s">
        <v>520</v>
      </c>
      <c r="C16" s="9" t="s">
        <v>521</v>
      </c>
      <c r="D16" s="12" t="s">
        <v>522</v>
      </c>
      <c r="E16" s="8">
        <v>0</v>
      </c>
      <c r="F16" s="11"/>
      <c r="G16" s="11"/>
      <c r="H16" t="str">
        <f t="shared" si="0"/>
        <v>INSERT INTO COMM_CONFIG(SYSTEM_KEY,SYSTEM_VALUE,SYSTEM_DESC,DEL_FLG,CRT_ID,CRT_TIME,UPD_ID,UPD_TIME,ACT_ID,ACT_TIME,VER) VALUES('ftp.imageRootPath','/msk-image/','FTP 图片根目录','0', 'admin', now(), 'admin', now(), 'admin', now(), 1);</v>
      </c>
    </row>
    <row r="17" spans="2:8">
      <c r="B17" s="11" t="s">
        <v>523</v>
      </c>
      <c r="C17" s="9" t="s">
        <v>524</v>
      </c>
      <c r="D17" s="12" t="s">
        <v>525</v>
      </c>
      <c r="E17" s="8">
        <v>0</v>
      </c>
      <c r="F17" s="11"/>
      <c r="G17" s="11"/>
      <c r="H17" t="str">
        <f t="shared" si="0"/>
        <v>INSERT INTO COMM_CONFIG(SYSTEM_KEY,SYSTEM_VALUE,SYSTEM_DESC,DEL_FLG,CRT_ID,CRT_TIME,UPD_ID,UPD_TIME,ACT_ID,ACT_TIME,VER) VALUES('wms.ftp.ip','114.55.4.220','仓储物流系统FTP地址','0', 'admin', now(), 'admin', now(), 'admin', now(), 1);</v>
      </c>
    </row>
    <row r="18" spans="2:8">
      <c r="B18" s="11" t="s">
        <v>526</v>
      </c>
      <c r="C18" s="9" t="s">
        <v>527</v>
      </c>
      <c r="D18" s="12" t="s">
        <v>528</v>
      </c>
      <c r="E18" s="8">
        <v>0</v>
      </c>
      <c r="F18" s="11"/>
      <c r="G18" s="11"/>
      <c r="H18" t="str">
        <f t="shared" si="0"/>
        <v>INSERT INTO COMM_CONFIG(SYSTEM_KEY,SYSTEM_VALUE,SYSTEM_DESC,DEL_FLG,CRT_ID,CRT_TIME,UPD_ID,UPD_TIME,ACT_ID,ACT_TIME,VER) VALUES('wms.ftp.user','fuji','仓储物流系统FTP用户','0', 'admin', now(), 'admin', now(), 'admin', now(), 1);</v>
      </c>
    </row>
    <row r="19" spans="2:8">
      <c r="B19" s="11" t="s">
        <v>529</v>
      </c>
      <c r="C19" s="9" t="s">
        <v>530</v>
      </c>
      <c r="D19" s="12" t="s">
        <v>531</v>
      </c>
      <c r="E19" s="8">
        <v>0</v>
      </c>
      <c r="F19" s="11"/>
      <c r="G19" s="11"/>
      <c r="H19" t="str">
        <f t="shared" si="0"/>
        <v>INSERT INTO COMM_CONFIG(SYSTEM_KEY,SYSTEM_VALUE,SYSTEM_DESC,DEL_FLG,CRT_ID,CRT_TIME,UPD_ID,UPD_TIME,ACT_ID,ACT_TIME,VER) VALUES('wms.ftp.pwd','fuji123456','仓储物流系统FTP密码','0', 'admin', now(), 'admin', now(), 'admin', now(), 1);</v>
      </c>
    </row>
    <row r="20" spans="2:8">
      <c r="B20" s="11" t="s">
        <v>532</v>
      </c>
      <c r="C20" s="9">
        <v>2</v>
      </c>
      <c r="D20" s="12" t="s">
        <v>533</v>
      </c>
      <c r="E20" s="8">
        <v>0</v>
      </c>
      <c r="F20" s="11"/>
      <c r="G20" s="11"/>
      <c r="H20" t="str">
        <f t="shared" si="0"/>
        <v>INSERT INTO COMM_CONFIG(SYSTEM_KEY,SYSTEM_VALUE,SYSTEM_DESC,DEL_FLG,CRT_ID,CRT_TIME,UPD_ID,UPD_TIME,ACT_ID,ACT_TIME,VER) VALUES('supplier_dept_id','2','供应商的部门ID固定值设定','0', 'admin', now(), 'admin', now(), 'admin', now(), 1);</v>
      </c>
    </row>
    <row r="21" spans="2:8">
      <c r="B21" s="11" t="s">
        <v>534</v>
      </c>
      <c r="C21" s="9">
        <v>7</v>
      </c>
      <c r="D21" s="12" t="s">
        <v>535</v>
      </c>
      <c r="E21" s="8">
        <v>0</v>
      </c>
      <c r="F21" s="11"/>
      <c r="G21" s="11"/>
      <c r="H21" t="str">
        <f t="shared" si="0"/>
        <v>INSERT INTO COMM_CONFIG(SYSTEM_KEY,SYSTEM_VALUE,SYSTEM_DESC,DEL_FLG,CRT_ID,CRT_TIME,UPD_ID,UPD_TIME,ACT_ID,ACT_TIME,VER) VALUES('supplier_role_id','7','供应商的角色ID固定值设定','0', 'admin', now(), 'admin', now(), 'admin', now(), 1);</v>
      </c>
    </row>
    <row r="22" spans="2:8">
      <c r="B22" s="46" t="s">
        <v>536</v>
      </c>
      <c r="C22" s="47" t="s">
        <v>537</v>
      </c>
      <c r="D22" s="48" t="s">
        <v>538</v>
      </c>
      <c r="E22" s="46">
        <v>0</v>
      </c>
      <c r="F22" s="46"/>
      <c r="G22" s="46"/>
    </row>
    <row r="23" spans="2:8">
      <c r="B23" s="46" t="s">
        <v>539</v>
      </c>
      <c r="C23" s="47" t="s">
        <v>540</v>
      </c>
      <c r="D23" s="48" t="s">
        <v>538</v>
      </c>
      <c r="E23" s="46">
        <v>0</v>
      </c>
      <c r="F23" s="46"/>
      <c r="G23" s="46"/>
    </row>
    <row r="24" spans="2:8">
      <c r="B24" s="46" t="s">
        <v>541</v>
      </c>
      <c r="C24" s="47" t="s">
        <v>542</v>
      </c>
      <c r="D24" s="48" t="s">
        <v>543</v>
      </c>
      <c r="E24" s="46">
        <v>0</v>
      </c>
      <c r="F24" s="46"/>
      <c r="G24" s="46"/>
    </row>
    <row r="25" spans="2:8">
      <c r="B25" s="49" t="s">
        <v>544</v>
      </c>
      <c r="C25" s="50" t="s">
        <v>545</v>
      </c>
      <c r="D25" s="12" t="s">
        <v>1384</v>
      </c>
      <c r="E25" s="49">
        <v>0</v>
      </c>
      <c r="F25" s="49"/>
      <c r="G25" s="49"/>
      <c r="H25" t="str">
        <f t="shared" si="0"/>
        <v>INSERT INTO COMM_CONFIG(SYSTEM_KEY,SYSTEM_VALUE,SYSTEM_DESC,DEL_FLG,CRT_ID,CRT_TIME,UPD_ID,UPD_TIME,ACT_ID,ACT_TIME,VER) VALUES('file.server.upload','http://t-file.xianchida.com/_upload','文件上传(外网地址)','0', 'admin', now(), 'admin', now(), 'admin', now(), 1);</v>
      </c>
    </row>
    <row r="26" spans="2:8">
      <c r="B26" s="49" t="s">
        <v>547</v>
      </c>
      <c r="C26" s="50" t="s">
        <v>548</v>
      </c>
      <c r="D26" s="58" t="s">
        <v>1385</v>
      </c>
      <c r="E26" s="49">
        <v>0</v>
      </c>
      <c r="F26" s="49"/>
      <c r="G26" s="49"/>
      <c r="H26" t="str">
        <f t="shared" si="0"/>
        <v>INSERT INTO COMM_CONFIG(SYSTEM_KEY,SYSTEM_VALUE,SYSTEM_DESC,DEL_FLG,CRT_ID,CRT_TIME,UPD_ID,UPD_TIME,ACT_ID,ACT_TIME,VER) VALUES('file.server','http://t-file.xianchida.com/_download','获得文件(外网地址)','0', 'admin', now(), 'admin', now(), 'admin', now(), 1);</v>
      </c>
    </row>
    <row r="27" spans="2:8">
      <c r="B27" s="82" t="s">
        <v>1375</v>
      </c>
      <c r="C27" s="84" t="s">
        <v>1379</v>
      </c>
      <c r="D27" s="83" t="s">
        <v>1386</v>
      </c>
      <c r="E27" s="82">
        <v>0</v>
      </c>
      <c r="F27" s="82"/>
      <c r="G27" s="82"/>
      <c r="H27" t="str">
        <f t="shared" ref="H27:H28" si="1">"INSERT INTO COMM_CONFIG("&amp;$B$3&amp;","&amp;$C$3&amp;","&amp;$D$3&amp;","&amp;$E$3&amp;",CRT_ID,CRT_TIME,UPD_ID,UPD_TIME,ACT_ID,ACT_TIME,VER) VALUES("&amp;IF(B27="","NULL","'"&amp;B27&amp;"'")&amp;","&amp;IF(C27="","NULL","'"&amp;C27&amp;"'")&amp;","&amp;IF(D27="","NULL","'"&amp;D27&amp;"'")&amp;","&amp;IF(E27="","NULL","'"&amp;E27&amp;"'")&amp;", 'admin', now(), 'admin', now(), 'admin', now(), 1);"</f>
        <v>INSERT INTO COMM_CONFIG(SYSTEM_KEY,SYSTEM_VALUE,SYSTEM_DESC,DEL_FLG,CRT_ID,CRT_TIME,UPD_ID,UPD_TIME,ACT_ID,ACT_TIME,VER) VALUES('file.server.upload.inside','http://localhost:8080/msk-file/file/_upload','文件上传(内网地址)','0', 'admin', now(), 'admin', now(), 'admin', now(), 1);</v>
      </c>
    </row>
    <row r="28" spans="2:8">
      <c r="B28" s="82" t="s">
        <v>1376</v>
      </c>
      <c r="C28" s="84" t="s">
        <v>1380</v>
      </c>
      <c r="D28" s="83" t="s">
        <v>1387</v>
      </c>
      <c r="E28" s="82">
        <v>0</v>
      </c>
      <c r="F28" s="82"/>
      <c r="G28" s="82"/>
      <c r="H28" t="str">
        <f t="shared" si="1"/>
        <v>INSERT INTO COMM_CONFIG(SYSTEM_KEY,SYSTEM_VALUE,SYSTEM_DESC,DEL_FLG,CRT_ID,CRT_TIME,UPD_ID,UPD_TIME,ACT_ID,ACT_TIME,VER) VALUES('file.server.download.inside','http://localhost:8081/_download','获得文件(内网地址)','0', 'admin', now(), 'admin', now(), 'admin', now(), 1);</v>
      </c>
    </row>
    <row r="29" spans="2:8">
      <c r="B29" s="49" t="s">
        <v>550</v>
      </c>
      <c r="C29" s="85" t="s">
        <v>1378</v>
      </c>
      <c r="D29" s="51" t="s">
        <v>552</v>
      </c>
      <c r="E29" s="49">
        <v>0</v>
      </c>
      <c r="F29" s="49" t="s">
        <v>553</v>
      </c>
      <c r="G29" s="51" t="s">
        <v>554</v>
      </c>
      <c r="H29" t="str">
        <f t="shared" si="0"/>
        <v>INSERT INTO COMM_CONFIG(SYSTEM_KEY,SYSTEM_VALUE,SYSTEM_DESC,DEL_FLG,CRT_ID,CRT_TIME,UPD_ID,UPD_TIME,ACT_ID,ACT_TIME,VER) VALUES('sso.url.outside','http://localhost:8080/msk-web','SSO站点外网地址','0', 'admin', now(), 'admin', now(), 'admin', now(), 1);</v>
      </c>
    </row>
    <row r="30" spans="2:8">
      <c r="B30" s="49" t="s">
        <v>555</v>
      </c>
      <c r="C30" s="50" t="s">
        <v>551</v>
      </c>
      <c r="D30" s="51" t="s">
        <v>556</v>
      </c>
      <c r="E30" s="49">
        <v>0</v>
      </c>
      <c r="F30" s="49" t="s">
        <v>553</v>
      </c>
      <c r="G30" s="51" t="s">
        <v>557</v>
      </c>
      <c r="H30" t="str">
        <f t="shared" ref="H30" si="2">"INSERT INTO COMM_CONFIG("&amp;$B$3&amp;","&amp;$C$3&amp;","&amp;$D$3&amp;","&amp;$E$3&amp;",CRT_ID,CRT_TIME,UPD_ID,UPD_TIME,ACT_ID,ACT_TIME,VER) VALUES("&amp;IF(B30="","NULL","'"&amp;B30&amp;"'")&amp;","&amp;IF(C30="","NULL","'"&amp;C30&amp;"'")&amp;","&amp;IF(D30="","NULL","'"&amp;D30&amp;"'")&amp;","&amp;IF(E30="","NULL","'"&amp;E30&amp;"'")&amp;", 'admin', now(), 'admin', now(), 'admin', now(), 1);"</f>
        <v>INSERT INTO COMM_CONFIG(SYSTEM_KEY,SYSTEM_VALUE,SYSTEM_DESC,DEL_FLG,CRT_ID,CRT_TIME,UPD_ID,UPD_TIME,ACT_ID,ACT_TIME,VER) VALUES('sso.url.inside','http://localhost:8080/msk-web','SSO站点内网地址','0', 'admin', now(), 'admin', now(), 'admin', now(), 1);</v>
      </c>
    </row>
    <row r="31" spans="2:8">
      <c r="B31" s="49" t="s">
        <v>558</v>
      </c>
      <c r="C31" s="50"/>
      <c r="D31" s="51" t="s">
        <v>559</v>
      </c>
      <c r="E31" s="49">
        <v>0</v>
      </c>
      <c r="F31" s="49" t="s">
        <v>560</v>
      </c>
      <c r="G31" s="51"/>
      <c r="H31" t="str">
        <f t="shared" si="0"/>
        <v>INSERT INTO COMM_CONFIG(SYSTEM_KEY,SYSTEM_VALUE,SYSTEM_DESC,DEL_FLG,CRT_ID,CRT_TIME,UPD_ID,UPD_TIME,ACT_ID,ACT_TIME,VER) VALUES('http.proxyHost',NULL,'HTTP正向代理主机IP（没有代理时不要设）','0', 'admin', now(), 'admin', now(), 'admin', now(), 1);</v>
      </c>
    </row>
    <row r="32" spans="2:8">
      <c r="B32" s="49" t="s">
        <v>561</v>
      </c>
      <c r="C32" s="50"/>
      <c r="D32" s="51" t="s">
        <v>562</v>
      </c>
      <c r="E32" s="49">
        <v>0</v>
      </c>
      <c r="F32" s="49" t="s">
        <v>560</v>
      </c>
      <c r="G32" s="51"/>
      <c r="H32" t="str">
        <f t="shared" si="0"/>
        <v>INSERT INTO COMM_CONFIG(SYSTEM_KEY,SYSTEM_VALUE,SYSTEM_DESC,DEL_FLG,CRT_ID,CRT_TIME,UPD_ID,UPD_TIME,ACT_ID,ACT_TIME,VER) VALUES('http.proxyPort',NULL,'HTTP正向代理主机端口（没有代理时不要设）','0', 'admin', now(), 'admin', now(), 'admin', now(), 1);</v>
      </c>
    </row>
    <row r="33" spans="2:8">
      <c r="B33" s="49" t="s">
        <v>563</v>
      </c>
      <c r="C33" s="50" t="s">
        <v>644</v>
      </c>
      <c r="D33" s="51" t="s">
        <v>564</v>
      </c>
      <c r="E33" s="49">
        <v>0</v>
      </c>
      <c r="F33" s="49"/>
      <c r="G33" s="51" t="s">
        <v>554</v>
      </c>
      <c r="H33" t="str">
        <f t="shared" ref="H33" si="3">"INSERT INTO COMM_CONFIG("&amp;$B$3&amp;","&amp;$C$3&amp;","&amp;$D$3&amp;","&amp;$E$3&amp;",CRT_ID,CRT_TIME,UPD_ID,UPD_TIME,ACT_ID,ACT_TIME,VER) VALUES("&amp;IF(B33="","NULL","'"&amp;B33&amp;"'")&amp;","&amp;IF(C33="","NULL","'"&amp;C33&amp;"'")&amp;","&amp;IF(D33="","NULL","'"&amp;D33&amp;"'")&amp;","&amp;IF(E33="","NULL","'"&amp;E33&amp;"'")&amp;", 'admin', now(), 'admin', now(), 'admin', now(), 1);"</f>
        <v>INSERT INTO COMM_CONFIG(SYSTEM_KEY,SYSTEM_VALUE,SYSTEM_DESC,DEL_FLG,CRT_ID,CRT_TIME,UPD_ID,UPD_TIME,ACT_ID,ACT_TIME,VER) VALUES('web.server.url','http://localhost:8080/msk-web','后台系统站点地址','0', 'admin', now(), 'admin', now(), 'admin', now(), 1);</v>
      </c>
    </row>
    <row r="34" spans="2:8">
      <c r="B34" s="49" t="s">
        <v>565</v>
      </c>
      <c r="C34" s="50" t="s">
        <v>551</v>
      </c>
      <c r="D34" s="51" t="s">
        <v>566</v>
      </c>
      <c r="E34" s="49">
        <v>0</v>
      </c>
      <c r="F34" s="49" t="s">
        <v>567</v>
      </c>
      <c r="G34" s="51" t="s">
        <v>557</v>
      </c>
      <c r="H34" t="str">
        <f t="shared" ref="H34:H60" si="4">"INSERT INTO COMM_CONFIG("&amp;$B$3&amp;","&amp;$C$3&amp;","&amp;$D$3&amp;","&amp;$E$3&amp;",CRT_ID,CRT_TIME,UPD_ID,UPD_TIME,ACT_ID,ACT_TIME,VER) VALUES("&amp;IF(B34="","NULL","'"&amp;B34&amp;"'")&amp;","&amp;IF(C34="","NULL","'"&amp;C34&amp;"'")&amp;","&amp;IF(D34="","NULL","'"&amp;D34&amp;"'")&amp;","&amp;IF(E34="","NULL","'"&amp;E34&amp;"'")&amp;", 'admin', now(), 'admin', now(), 'admin', now(), 1);"</f>
        <v>INSERT INTO COMM_CONFIG(SYSTEM_KEY,SYSTEM_VALUE,SYSTEM_DESC,DEL_FLG,CRT_ID,CRT_TIME,UPD_ID,UPD_TIME,ACT_ID,ACT_TIME,VER) VALUES('api.url.inside','http://localhost:8080/msk-web','后台系统内部接口内网地址','0', 'admin', now(), 'admin', now(), 'admin', now(), 1);</v>
      </c>
    </row>
    <row r="35" spans="2:8">
      <c r="B35" s="49" t="s">
        <v>607</v>
      </c>
      <c r="C35" s="50" t="s">
        <v>645</v>
      </c>
      <c r="D35" s="51" t="s">
        <v>608</v>
      </c>
      <c r="E35" s="49">
        <v>0</v>
      </c>
      <c r="F35" s="49"/>
      <c r="G35" s="51"/>
      <c r="H35" t="str">
        <f t="shared" si="4"/>
        <v>INSERT INTO COMM_CONFIG(SYSTEM_KEY,SYSTEM_VALUE,SYSTEM_DESC,DEL_FLG,CRT_ID,CRT_TIME,UPD_ID,UPD_TIME,ACT_ID,ACT_TIME,VER) VALUES('api.url.searchPrice','http://localhost:8090/msk-snk-price/api/sp/getPriceBox','查询箱价接口地址','0', 'admin', now(), 'admin', now(), 'admin', now(), 1);</v>
      </c>
    </row>
    <row r="36" spans="2:8">
      <c r="B36" s="49" t="s">
        <v>640</v>
      </c>
      <c r="C36" s="50" t="s">
        <v>647</v>
      </c>
      <c r="D36" s="51" t="s">
        <v>642</v>
      </c>
      <c r="E36" s="49">
        <v>0</v>
      </c>
      <c r="F36" s="49"/>
      <c r="G36" s="51" t="s">
        <v>646</v>
      </c>
      <c r="H36" t="str">
        <f t="shared" si="4"/>
        <v>INSERT INTO COMM_CONFIG(SYSTEM_KEY,SYSTEM_VALUE,SYSTEM_DESC,DEL_FLG,CRT_ID,CRT_TIME,UPD_ID,UPD_TIME,ACT_ID,ACT_TIME,VER) VALUES('api.url.searchPrintOrder','http://localhost:8080/msk-web/api/v1/so/detail/print','查询打印订单详细信息接口地址','0', 'admin', now(), 'admin', now(), 'admin', now(), 1);</v>
      </c>
    </row>
    <row r="37" spans="2:8">
      <c r="B37" s="49" t="s">
        <v>641</v>
      </c>
      <c r="C37" s="50" t="s">
        <v>648</v>
      </c>
      <c r="D37" s="51" t="s">
        <v>643</v>
      </c>
      <c r="E37" s="49">
        <v>0</v>
      </c>
      <c r="F37" s="49"/>
      <c r="G37" s="51" t="s">
        <v>646</v>
      </c>
      <c r="H37" t="str">
        <f t="shared" si="4"/>
        <v>INSERT INTO COMM_CONFIG(SYSTEM_KEY,SYSTEM_VALUE,SYSTEM_DESC,DEL_FLG,CRT_ID,CRT_TIME,UPD_ID,UPD_TIME,ACT_ID,ACT_TIME,VER) VALUES('api.url.printOrder','http://localhost:9390/msk-print/print/pdf/order/PDF000001','打印订单详细信息接口地址','0', 'admin', now(), 'admin', now(), 'admin', now(), 1);</v>
      </c>
    </row>
    <row r="38" spans="2:8">
      <c r="B38" s="49" t="s">
        <v>709</v>
      </c>
      <c r="C38" s="50" t="s">
        <v>712</v>
      </c>
      <c r="D38" s="51" t="s">
        <v>708</v>
      </c>
      <c r="E38" s="49">
        <v>0</v>
      </c>
      <c r="F38" s="49" t="s">
        <v>710</v>
      </c>
      <c r="G38" s="51" t="s">
        <v>711</v>
      </c>
      <c r="H38" t="str">
        <f t="shared" si="4"/>
        <v>INSERT INTO COMM_CONFIG(SYSTEM_KEY,SYSTEM_VALUE,SYSTEM_DESC,DEL_FLG,CRT_ID,CRT_TIME,UPD_ID,UPD_TIME,ACT_ID,ACT_TIME,VER) VALUES('temp.file.localpath','D:\xcdhome\temp','临时文件目录','0', 'admin', now(), 'admin', now(), 'admin', now(), 1);</v>
      </c>
    </row>
    <row r="39" spans="2:8">
      <c r="B39" s="49" t="s">
        <v>763</v>
      </c>
      <c r="C39" s="85" t="s">
        <v>1377</v>
      </c>
      <c r="D39" s="51" t="s">
        <v>766</v>
      </c>
      <c r="E39" s="49">
        <v>0</v>
      </c>
      <c r="F39" s="49" t="s">
        <v>768</v>
      </c>
      <c r="G39" s="51" t="s">
        <v>769</v>
      </c>
      <c r="H39" t="str">
        <f t="shared" si="4"/>
        <v>INSERT INTO COMM_CONFIG(SYSTEM_KEY,SYSTEM_VALUE,SYSTEM_DESC,DEL_FLG,CRT_ID,CRT_TIME,UPD_ID,UPD_TIME,ACT_ID,ACT_TIME,VER) VALUES('api.url.sellerCharging','http://10.20.16.152:8888/msk-so-cp/api/cp/sellerCharging','卖家计费项接口地址','0', 'admin', now(), 'admin', now(), 'admin', now(), 1);</v>
      </c>
    </row>
    <row r="40" spans="2:8">
      <c r="B40" s="49" t="s">
        <v>764</v>
      </c>
      <c r="C40" s="50" t="s">
        <v>765</v>
      </c>
      <c r="D40" s="51" t="s">
        <v>767</v>
      </c>
      <c r="E40" s="49">
        <v>0</v>
      </c>
      <c r="F40" s="49" t="s">
        <v>768</v>
      </c>
      <c r="G40" s="51" t="s">
        <v>769</v>
      </c>
      <c r="H40" t="str">
        <f t="shared" si="4"/>
        <v>INSERT INTO COMM_CONFIG(SYSTEM_KEY,SYSTEM_VALUE,SYSTEM_DESC,DEL_FLG,CRT_ID,CRT_TIME,UPD_ID,UPD_TIME,ACT_ID,ACT_TIME,VER) VALUES('api.url.transaction','http://10.20.16.152:8888/msk-so-cp/api/cp/transaction','交易明细接口地址','0', 'admin', now(), 'admin', now(), 'admin', now(), 1);</v>
      </c>
    </row>
    <row r="41" spans="2:8">
      <c r="B41" s="49" t="s">
        <v>772</v>
      </c>
      <c r="C41" s="50" t="s">
        <v>782</v>
      </c>
      <c r="D41" s="51" t="s">
        <v>775</v>
      </c>
      <c r="E41" s="49">
        <v>0</v>
      </c>
      <c r="F41" s="49" t="s">
        <v>774</v>
      </c>
      <c r="G41" s="51" t="s">
        <v>773</v>
      </c>
      <c r="H41" t="str">
        <f t="shared" si="4"/>
        <v>INSERT INTO COMM_CONFIG(SYSTEM_KEY,SYSTEM_VALUE,SYSTEM_DESC,DEL_FLG,CRT_ID,CRT_TIME,UPD_ID,UPD_TIME,ACT_ID,ACT_TIME,VER) VALUES('seller.server','http://10.20.16.83:8880/msk-seller','卖家系统地址','0', 'admin', now(), 'admin', now(), 'admin', now(), 1);</v>
      </c>
    </row>
    <row r="42" spans="2:8">
      <c r="B42" s="49" t="s">
        <v>778</v>
      </c>
      <c r="C42" s="50" t="s">
        <v>783</v>
      </c>
      <c r="D42" s="51" t="s">
        <v>780</v>
      </c>
      <c r="E42" s="49">
        <v>0</v>
      </c>
      <c r="F42" s="49" t="s">
        <v>781</v>
      </c>
      <c r="G42" s="51" t="s">
        <v>780</v>
      </c>
      <c r="H42" t="str">
        <f t="shared" si="4"/>
        <v>INSERT INTO COMM_CONFIG(SYSTEM_KEY,SYSTEM_VALUE,SYSTEM_DESC,DEL_FLG,CRT_ID,CRT_TIME,UPD_ID,UPD_TIME,ACT_ID,ACT_TIME,VER) VALUES('org.server','http://10.20.16.83:8880/msk-org','org-server地址','0', 'admin', now(), 'admin', now(), 'admin', now(), 1);</v>
      </c>
    </row>
    <row r="43" spans="2:8">
      <c r="B43" s="49" t="s">
        <v>851</v>
      </c>
      <c r="C43" s="50" t="s">
        <v>852</v>
      </c>
      <c r="D43" s="51" t="s">
        <v>853</v>
      </c>
      <c r="E43" s="49">
        <v>0</v>
      </c>
      <c r="F43" s="49" t="s">
        <v>854</v>
      </c>
      <c r="G43" s="51" t="s">
        <v>853</v>
      </c>
      <c r="H43" t="str">
        <f t="shared" si="4"/>
        <v>INSERT INTO COMM_CONFIG(SYSTEM_KEY,SYSTEM_VALUE,SYSTEM_DESC,DEL_FLG,CRT_ID,CRT_TIME,UPD_ID,UPD_TIME,ACT_ID,ACT_TIME,VER) VALUES('api.url.printDs','http://10.20.16.83:8884/msk-print/print/pdf/ds/','打印发货入库单详细信息接口地址','0', 'admin', now(), 'admin', now(), 'admin', now(), 1);</v>
      </c>
    </row>
    <row r="44" spans="2:8">
      <c r="B44" s="49" t="s">
        <v>858</v>
      </c>
      <c r="C44" s="50" t="s">
        <v>859</v>
      </c>
      <c r="D44" s="51" t="s">
        <v>860</v>
      </c>
      <c r="E44" s="49">
        <v>0</v>
      </c>
      <c r="F44" s="49" t="s">
        <v>854</v>
      </c>
      <c r="G44" s="51" t="s">
        <v>860</v>
      </c>
      <c r="H44" t="str">
        <f t="shared" si="4"/>
        <v>INSERT INTO COMM_CONFIG(SYSTEM_KEY,SYSTEM_VALUE,SYSTEM_DESC,DEL_FLG,CRT_ID,CRT_TIME,UPD_ID,UPD_TIME,ACT_ID,ACT_TIME,VER) VALUES('api.url.searchPrintDelivery','http://10.30.10.13:8080/msk-web/api/v1/deliveryDetail/pdf/print','查询打印发货入库单详细信息接口地址','0', 'admin', now(), 'admin', now(), 'admin', now(), 1);</v>
      </c>
    </row>
    <row r="45" spans="2:8">
      <c r="B45" s="49" t="s">
        <v>869</v>
      </c>
      <c r="C45" s="50" t="s">
        <v>871</v>
      </c>
      <c r="D45" s="51" t="s">
        <v>874</v>
      </c>
      <c r="E45" s="49">
        <v>0</v>
      </c>
      <c r="F45" s="49" t="s">
        <v>877</v>
      </c>
      <c r="G45" s="51" t="s">
        <v>873</v>
      </c>
      <c r="H45" t="str">
        <f t="shared" si="4"/>
        <v>INSERT INTO COMM_CONFIG(SYSTEM_KEY,SYSTEM_VALUE,SYSTEM_DESC,DEL_FLG,CRT_ID,CRT_TIME,UPD_ID,UPD_TIME,ACT_ID,ACT_TIME,VER) VALUES('api.url.getBuyerCode','http://10.20.16.83:8884/msk-buyers/api/by/buyerCodeWithRingCode/query','查询(环标码)买家编码接口','0', 'admin', now(), 'admin', now(), 'admin', now(), 1);</v>
      </c>
    </row>
    <row r="46" spans="2:8">
      <c r="B46" s="49" t="s">
        <v>870</v>
      </c>
      <c r="C46" s="50" t="s">
        <v>872</v>
      </c>
      <c r="D46" s="51" t="s">
        <v>876</v>
      </c>
      <c r="E46" s="49">
        <v>0</v>
      </c>
      <c r="F46" s="49" t="s">
        <v>941</v>
      </c>
      <c r="G46" s="51" t="s">
        <v>875</v>
      </c>
      <c r="H46" t="str">
        <f t="shared" si="4"/>
        <v>INSERT INTO COMM_CONFIG(SYSTEM_KEY,SYSTEM_VALUE,SYSTEM_DESC,DEL_FLG,CRT_ID,CRT_TIME,UPD_ID,UPD_TIME,ACT_ID,ACT_TIME,VER) VALUES('api.url.getBuyerId','http://10.20.16.83:8884/msk-buyers/api/by/buyerId/queryByBuyerCode','通过买家编码查询买家ID','0', 'admin', now(), 'admin', now(), 'admin', now(), 1);</v>
      </c>
    </row>
    <row r="47" spans="2:8">
      <c r="B47" s="49" t="s">
        <v>899</v>
      </c>
      <c r="C47" s="50" t="s">
        <v>902</v>
      </c>
      <c r="D47" s="51" t="s">
        <v>900</v>
      </c>
      <c r="E47" s="49">
        <v>0</v>
      </c>
      <c r="F47" s="49" t="s">
        <v>710</v>
      </c>
      <c r="G47" s="51" t="s">
        <v>901</v>
      </c>
      <c r="H47" t="str">
        <f t="shared" si="4"/>
        <v>INSERT INTO COMM_CONFIG(SYSTEM_KEY,SYSTEM_VALUE,SYSTEM_DESC,DEL_FLG,CRT_ID,CRT_TIME,UPD_ID,UPD_TIME,ACT_ID,ACT_TIME,VER) VALUES('favorites.url','http://10.20.16.91:9091/msk-favorites','收藏夹地址','0', 'admin', now(), 'admin', now(), 'admin', now(), 1);</v>
      </c>
    </row>
    <row r="48" spans="2:8">
      <c r="B48" s="49" t="s">
        <v>906</v>
      </c>
      <c r="C48" s="63" t="s">
        <v>910</v>
      </c>
      <c r="D48" s="51" t="s">
        <v>907</v>
      </c>
      <c r="E48" s="49">
        <v>0</v>
      </c>
      <c r="F48" s="49" t="s">
        <v>710</v>
      </c>
      <c r="G48" s="51" t="s">
        <v>914</v>
      </c>
      <c r="H48" t="str">
        <f t="shared" si="4"/>
        <v>INSERT INTO COMM_CONFIG(SYSTEM_KEY,SYSTEM_VALUE,SYSTEM_DESC,DEL_FLG,CRT_ID,CRT_TIME,UPD_ID,UPD_TIME,ACT_ID,ACT_TIME,VER) VALUES('isCheckPasswordTimeSeries.flag','false','密码是否会过期开关','0', 'admin', now(), 'admin', now(), 'admin', now(), 1);</v>
      </c>
    </row>
    <row r="49" spans="2:8">
      <c r="B49" s="49" t="s">
        <v>908</v>
      </c>
      <c r="C49" s="63" t="s">
        <v>910</v>
      </c>
      <c r="D49" s="51" t="s">
        <v>912</v>
      </c>
      <c r="E49" s="49">
        <v>0</v>
      </c>
      <c r="F49" s="49" t="s">
        <v>710</v>
      </c>
      <c r="G49" s="51" t="s">
        <v>914</v>
      </c>
      <c r="H49" t="str">
        <f t="shared" si="4"/>
        <v>INSERT INTO COMM_CONFIG(SYSTEM_KEY,SYSTEM_VALUE,SYSTEM_DESC,DEL_FLG,CRT_ID,CRT_TIME,UPD_ID,UPD_TIME,ACT_ID,ACT_TIME,VER) VALUES('isForceModifyPassword.flag','false','是否强制修改密码','0', 'admin', now(), 'admin', now(), 'admin', now(), 1);</v>
      </c>
    </row>
    <row r="50" spans="2:8">
      <c r="B50" s="49" t="s">
        <v>909</v>
      </c>
      <c r="C50" s="63" t="s">
        <v>911</v>
      </c>
      <c r="D50" s="51" t="s">
        <v>913</v>
      </c>
      <c r="E50" s="49">
        <v>0</v>
      </c>
      <c r="F50" s="49" t="s">
        <v>710</v>
      </c>
      <c r="G50" s="51" t="s">
        <v>914</v>
      </c>
      <c r="H50" t="str">
        <f t="shared" si="4"/>
        <v>INSERT INTO COMM_CONFIG(SYSTEM_KEY,SYSTEM_VALUE,SYSTEM_DESC,DEL_FLG,CRT_ID,CRT_TIME,UPD_ID,UPD_TIME,ACT_ID,ACT_TIME,VER) VALUES('isInitPassword.flag','true','是否初始化密码开关','0', 'admin', now(), 'admin', now(), 'admin', now(), 1);</v>
      </c>
    </row>
    <row r="51" spans="2:8">
      <c r="B51" s="49" t="s">
        <v>938</v>
      </c>
      <c r="C51" s="50" t="s">
        <v>939</v>
      </c>
      <c r="D51" s="51" t="s">
        <v>940</v>
      </c>
      <c r="E51" s="49">
        <v>0</v>
      </c>
      <c r="F51" s="49" t="s">
        <v>942</v>
      </c>
      <c r="G51" s="51" t="s">
        <v>940</v>
      </c>
      <c r="H51" t="str">
        <f t="shared" si="4"/>
        <v>INSERT INTO COMM_CONFIG(SYSTEM_KEY,SYSTEM_VALUE,SYSTEM_DESC,DEL_FLG,CRT_ID,CRT_TIME,UPD_ID,UPD_TIME,ACT_ID,ACT_TIME,VER) VALUES('api.url.getPriceWay','http://10.20.16.83:8884/msk-snk-price/api/pd/getPriceWayList','获得价盘通道信息接口','0', 'admin', now(), 'admin', now(), 'admin', now(), 1);</v>
      </c>
    </row>
    <row r="52" spans="2:8">
      <c r="B52" s="82" t="s">
        <v>1440</v>
      </c>
      <c r="C52" s="87" t="s">
        <v>1441</v>
      </c>
      <c r="D52" s="83" t="s">
        <v>1442</v>
      </c>
      <c r="E52" s="82">
        <v>0</v>
      </c>
      <c r="F52" s="82" t="s">
        <v>1443</v>
      </c>
      <c r="G52" s="83" t="s">
        <v>1444</v>
      </c>
      <c r="H52" t="str">
        <f t="shared" si="4"/>
        <v>INSERT INTO COMM_CONFIG(SYSTEM_KEY,SYSTEM_VALUE,SYSTEM_DESC,DEL_FLG,CRT_ID,CRT_TIME,UPD_ID,UPD_TIME,ACT_ID,ACT_TIME,VER) VALUES('mail.from','redmine@dxl123.net','邮件发送人','0', 'admin', now(), 'admin', now(), 'admin', now(), 1);</v>
      </c>
    </row>
    <row r="53" spans="2:8">
      <c r="B53" s="82" t="s">
        <v>1445</v>
      </c>
      <c r="C53" s="87" t="s">
        <v>1446</v>
      </c>
      <c r="D53" s="83" t="s">
        <v>1447</v>
      </c>
      <c r="E53" s="82">
        <v>0</v>
      </c>
      <c r="F53" s="82" t="s">
        <v>1443</v>
      </c>
      <c r="G53" s="83" t="s">
        <v>1444</v>
      </c>
      <c r="H53" t="str">
        <f t="shared" si="4"/>
        <v>INSERT INTO COMM_CONFIG(SYSTEM_KEY,SYSTEM_VALUE,SYSTEM_DESC,DEL_FLG,CRT_ID,CRT_TIME,UPD_ID,UPD_TIME,ACT_ID,ACT_TIME,VER) VALUES('mail.host','smtp.dxl123.net','邮箱服务器','0', 'admin', now(), 'admin', now(), 'admin', now(), 1);</v>
      </c>
    </row>
    <row r="54" spans="2:8">
      <c r="B54" s="82" t="s">
        <v>1459</v>
      </c>
      <c r="C54" s="87" t="s">
        <v>1460</v>
      </c>
      <c r="D54" s="83" t="s">
        <v>1461</v>
      </c>
      <c r="E54" s="82">
        <v>0</v>
      </c>
      <c r="F54" s="82" t="s">
        <v>1443</v>
      </c>
      <c r="G54" s="83" t="s">
        <v>1444</v>
      </c>
      <c r="H54" t="str">
        <f t="shared" si="4"/>
        <v>INSERT INTO COMM_CONFIG(SYSTEM_KEY,SYSTEM_VALUE,SYSTEM_DESC,DEL_FLG,CRT_ID,CRT_TIME,UPD_ID,UPD_TIME,ACT_ID,ACT_TIME,VER) VALUES('mail.username','redmine@dxl123.net','邮箱登录名','0', 'admin', now(), 'admin', now(), 'admin', now(), 1);</v>
      </c>
    </row>
    <row r="55" spans="2:8">
      <c r="B55" s="82" t="s">
        <v>1448</v>
      </c>
      <c r="C55" s="87" t="s">
        <v>1449</v>
      </c>
      <c r="D55" s="83" t="s">
        <v>1450</v>
      </c>
      <c r="E55" s="82">
        <v>0</v>
      </c>
      <c r="F55" s="82" t="s">
        <v>1443</v>
      </c>
      <c r="G55" s="83" t="s">
        <v>1444</v>
      </c>
      <c r="H55" t="str">
        <f t="shared" si="4"/>
        <v>INSERT INTO COMM_CONFIG(SYSTEM_KEY,SYSTEM_VALUE,SYSTEM_DESC,DEL_FLG,CRT_ID,CRT_TIME,UPD_ID,UPD_TIME,ACT_ID,ACT_TIME,VER) VALUES('mail.password','XMGL999','邮箱登录名的密码','0', 'admin', now(), 'admin', now(), 'admin', now(), 1);</v>
      </c>
    </row>
    <row r="56" spans="2:8">
      <c r="B56" s="82" t="s">
        <v>1451</v>
      </c>
      <c r="C56" s="87">
        <v>465</v>
      </c>
      <c r="D56" s="83" t="s">
        <v>1452</v>
      </c>
      <c r="E56" s="82">
        <v>0</v>
      </c>
      <c r="F56" s="82" t="s">
        <v>1443</v>
      </c>
      <c r="G56" s="83" t="s">
        <v>1444</v>
      </c>
      <c r="H56" t="str">
        <f t="shared" si="4"/>
        <v>INSERT INTO COMM_CONFIG(SYSTEM_KEY,SYSTEM_VALUE,SYSTEM_DESC,DEL_FLG,CRT_ID,CRT_TIME,UPD_ID,UPD_TIME,ACT_ID,ACT_TIME,VER) VALUES('mail.port','465','邮箱服务器端口','0', 'admin', now(), 'admin', now(), 'admin', now(), 1);</v>
      </c>
    </row>
    <row r="57" spans="2:8">
      <c r="B57" s="82" t="s">
        <v>1453</v>
      </c>
      <c r="C57" s="87"/>
      <c r="D57" s="83" t="s">
        <v>1455</v>
      </c>
      <c r="E57" s="82">
        <v>0</v>
      </c>
      <c r="F57" s="82" t="s">
        <v>1443</v>
      </c>
      <c r="G57" s="83" t="s">
        <v>1444</v>
      </c>
      <c r="H57" t="str">
        <f t="shared" si="4"/>
        <v>INSERT INTO COMM_CONFIG(SYSTEM_KEY,SYSTEM_VALUE,SYSTEM_DESC,DEL_FLG,CRT_ID,CRT_TIME,UPD_ID,UPD_TIME,ACT_ID,ACT_TIME,VER) VALUES('mail.proxyHost',NULL,'代理服务器','0', 'admin', now(), 'admin', now(), 'admin', now(), 1);</v>
      </c>
    </row>
    <row r="58" spans="2:8">
      <c r="B58" s="82" t="s">
        <v>1454</v>
      </c>
      <c r="C58" s="87"/>
      <c r="D58" s="83" t="s">
        <v>1456</v>
      </c>
      <c r="E58" s="82">
        <v>0</v>
      </c>
      <c r="F58" s="82" t="s">
        <v>1443</v>
      </c>
      <c r="G58" s="83" t="s">
        <v>1444</v>
      </c>
      <c r="H58" t="str">
        <f t="shared" si="4"/>
        <v>INSERT INTO COMM_CONFIG(SYSTEM_KEY,SYSTEM_VALUE,SYSTEM_DESC,DEL_FLG,CRT_ID,CRT_TIME,UPD_ID,UPD_TIME,ACT_ID,ACT_TIME,VER) VALUES('mail.proxyPort',NULL,'代理服务器端口','0', 'admin', now(), 'admin', now(), 'admin', now(), 1);</v>
      </c>
    </row>
    <row r="59" spans="2:8">
      <c r="B59" s="82" t="s">
        <v>1457</v>
      </c>
      <c r="C59" s="87" t="s">
        <v>1465</v>
      </c>
      <c r="D59" s="83" t="s">
        <v>1463</v>
      </c>
      <c r="E59" s="82">
        <v>0</v>
      </c>
      <c r="F59" s="82" t="s">
        <v>1443</v>
      </c>
      <c r="G59" s="83" t="s">
        <v>1444</v>
      </c>
      <c r="H59" t="str">
        <f t="shared" si="4"/>
        <v>INSERT INTO COMM_CONFIG(SYSTEM_KEY,SYSTEM_VALUE,SYSTEM_DESC,DEL_FLG,CRT_ID,CRT_TIME,UPD_ID,UPD_TIME,ACT_ID,ACT_TIME,VER) VALUES('mail.sender','开发','邮箱发送人名称','0', 'admin', now(), 'admin', now(), 'admin', now(), 1);</v>
      </c>
    </row>
    <row r="60" spans="2:8">
      <c r="B60" s="82" t="s">
        <v>1458</v>
      </c>
      <c r="C60" s="87" t="b">
        <v>1</v>
      </c>
      <c r="D60" s="83" t="s">
        <v>1464</v>
      </c>
      <c r="E60" s="82">
        <v>0</v>
      </c>
      <c r="F60" s="82" t="s">
        <v>1443</v>
      </c>
      <c r="G60" s="83" t="s">
        <v>1444</v>
      </c>
      <c r="H60" t="str">
        <f t="shared" si="4"/>
        <v>INSERT INTO COMM_CONFIG(SYSTEM_KEY,SYSTEM_VALUE,SYSTEM_DESC,DEL_FLG,CRT_ID,CRT_TIME,UPD_ID,UPD_TIME,ACT_ID,ACT_TIME,VER) VALUES('mail.ssl','TRUE','是否启动ssl','0', 'admin', now(), 'admin', now(), 'admin', now(), 1);</v>
      </c>
    </row>
    <row r="61" spans="2:8">
      <c r="B61" s="13" t="s">
        <v>49</v>
      </c>
      <c r="C61" s="12"/>
      <c r="D61" s="12"/>
      <c r="E61" s="11"/>
      <c r="F61" s="11"/>
      <c r="G61" s="11"/>
    </row>
    <row r="62" spans="2:8">
      <c r="B62" s="11"/>
      <c r="C62" s="12"/>
      <c r="D62" s="12"/>
      <c r="E62" s="11"/>
      <c r="F62" s="11"/>
      <c r="G62" s="11"/>
    </row>
    <row r="63" spans="2:8">
      <c r="B63" s="11"/>
      <c r="C63" s="12"/>
      <c r="D63" s="12"/>
      <c r="E63" s="11"/>
      <c r="F63" s="11"/>
      <c r="G63" s="11"/>
    </row>
    <row r="64" spans="2:8">
      <c r="B64" s="11"/>
      <c r="C64" s="12"/>
      <c r="D64" s="12"/>
      <c r="E64" s="11"/>
      <c r="F64" s="11"/>
      <c r="G64" s="11"/>
    </row>
    <row r="65" spans="2:7">
      <c r="B65" s="11"/>
      <c r="C65" s="12"/>
      <c r="D65" s="12"/>
      <c r="E65" s="11"/>
      <c r="F65" s="11"/>
      <c r="G65" s="11"/>
    </row>
  </sheetData>
  <phoneticPr fontId="14" type="noConversion"/>
  <hyperlinks>
    <hyperlink ref="B12" r:id="rId1"/>
    <hyperlink ref="B13" r:id="rId2"/>
    <hyperlink ref="B14" r:id="rId3"/>
    <hyperlink ref="B16" r:id="rId4"/>
    <hyperlink ref="C39" r:id="rId5"/>
    <hyperlink ref="C29" r:id="rId6"/>
    <hyperlink ref="C27" r:id="rId7"/>
    <hyperlink ref="C28" r:id="rId8"/>
  </hyperlinks>
  <pageMargins left="0.69930555555555596" right="0.69930555555555596" top="0.75" bottom="0.75" header="0.3" footer="0.3"/>
  <pageSetup paperSize="9" orientation="portrait"/>
  <legacyDrawing r:id="rId9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B1:H66"/>
  <sheetViews>
    <sheetView zoomScale="85" zoomScaleNormal="85" zoomScalePageLayoutView="85" workbookViewId="0">
      <pane xSplit="1" ySplit="4" topLeftCell="B38" activePane="bottomRight" state="frozen"/>
      <selection pane="topRight" activeCell="B1" sqref="B1"/>
      <selection pane="bottomLeft" activeCell="A5" sqref="A5"/>
      <selection pane="bottomRight" activeCell="B61" sqref="B61"/>
    </sheetView>
  </sheetViews>
  <sheetFormatPr defaultColWidth="9" defaultRowHeight="13.5"/>
  <cols>
    <col min="1" max="1" width="1.875" customWidth="1"/>
    <col min="2" max="2" width="24" customWidth="1"/>
    <col min="3" max="3" width="43.5" customWidth="1"/>
    <col min="4" max="4" width="29.625" customWidth="1"/>
    <col min="5" max="5" width="12" customWidth="1"/>
    <col min="6" max="6" width="13.125" customWidth="1"/>
    <col min="7" max="7" width="36" customWidth="1"/>
  </cols>
  <sheetData>
    <row r="1" spans="2:8">
      <c r="B1" s="2" t="s">
        <v>35</v>
      </c>
      <c r="C1" s="3" t="s">
        <v>481</v>
      </c>
      <c r="D1" s="4" t="s">
        <v>7</v>
      </c>
    </row>
    <row r="2" spans="2:8" s="1" customFormat="1" ht="12" customHeight="1">
      <c r="B2" s="5" t="s">
        <v>482</v>
      </c>
      <c r="C2" s="5" t="s">
        <v>483</v>
      </c>
      <c r="D2" s="5" t="s">
        <v>42</v>
      </c>
      <c r="E2" s="5" t="s">
        <v>36</v>
      </c>
      <c r="F2" s="6" t="s">
        <v>62</v>
      </c>
      <c r="G2" s="6" t="s">
        <v>63</v>
      </c>
    </row>
    <row r="3" spans="2:8" s="1" customFormat="1" ht="12" customHeight="1">
      <c r="B3" s="5" t="s">
        <v>484</v>
      </c>
      <c r="C3" s="5" t="s">
        <v>485</v>
      </c>
      <c r="D3" s="5" t="s">
        <v>486</v>
      </c>
      <c r="E3" s="5" t="s">
        <v>37</v>
      </c>
      <c r="F3" s="6"/>
      <c r="G3" s="6"/>
    </row>
    <row r="4" spans="2:8" s="1" customFormat="1" ht="12" customHeight="1">
      <c r="B4" s="7" t="s">
        <v>38</v>
      </c>
      <c r="C4" s="14"/>
      <c r="D4" s="14"/>
      <c r="E4" s="7"/>
      <c r="F4" s="7"/>
      <c r="G4" s="14"/>
      <c r="H4" s="1" t="s">
        <v>487</v>
      </c>
    </row>
    <row r="5" spans="2:8">
      <c r="B5" s="8" t="s">
        <v>488</v>
      </c>
      <c r="C5" s="9" t="s">
        <v>568</v>
      </c>
      <c r="D5" s="9" t="s">
        <v>490</v>
      </c>
      <c r="E5" s="8">
        <v>0</v>
      </c>
      <c r="F5" s="8"/>
      <c r="G5" s="9" t="s">
        <v>491</v>
      </c>
      <c r="H5" t="str">
        <f>"INSERT INTO COMM_CONFIG("&amp;$B$3&amp;","&amp;$C$3&amp;","&amp;$D$3&amp;","&amp;$E$3&amp;",CRT_ID,CRT_TIME,UPD_ID,UPD_TIME,ACT_ID,ACT_TIME,VER) VALUES("&amp;IF(B5="","NULL","'"&amp;B5&amp;"'")&amp;","&amp;IF(C5="","NULL","'"&amp;C5&amp;"'")&amp;","&amp;IF(D5="","NULL","'"&amp;D5&amp;"'")&amp;","&amp;IF(E5="","NULL","'"&amp;E5&amp;"'")&amp;", 'admin', now(), 'admin', now(), 'admin', now(), 1);"</f>
        <v>INSERT INTO COMM_CONFIG(SYSTEM_KEY,SYSTEM_VALUE,SYSTEM_DESC,DEL_FLG,CRT_ID,CRT_TIME,UPD_ID,UPD_TIME,ACT_ID,ACT_TIME,VER) VALUES('sys.env','test','系统环境区分','0', 'admin', now(), 'admin', now(), 'admin', now(), 1);</v>
      </c>
    </row>
    <row r="6" spans="2:8">
      <c r="B6" s="8" t="s">
        <v>492</v>
      </c>
      <c r="C6" s="9">
        <v>0</v>
      </c>
      <c r="D6" s="9" t="s">
        <v>493</v>
      </c>
      <c r="E6" s="8">
        <v>0</v>
      </c>
      <c r="F6" s="8"/>
      <c r="G6" s="10" t="s">
        <v>494</v>
      </c>
      <c r="H6" t="str">
        <f t="shared" ref="H6:H60" si="0">"INSERT INTO COMM_CONFIG("&amp;$B$3&amp;","&amp;$C$3&amp;","&amp;$D$3&amp;","&amp;$E$3&amp;",CRT_ID,CRT_TIME,UPD_ID,UPD_TIME,ACT_ID,ACT_TIME,VER) VALUES("&amp;IF(B6="","NULL","'"&amp;B6&amp;"'")&amp;","&amp;IF(C6="","NULL","'"&amp;C6&amp;"'")&amp;","&amp;IF(D6="","NULL","'"&amp;D6&amp;"'")&amp;","&amp;IF(E6="","NULL","'"&amp;E6&amp;"'")&amp;", 'admin', now(), 'admin', now(), 'admin', now(), 1);"</f>
        <v>INSERT INTO COMM_CONFIG(SYSTEM_KEY,SYSTEM_VALUE,SYSTEM_DESC,DEL_FLG,CRT_ID,CRT_TIME,UPD_ID,UPD_TIME,ACT_ID,ACT_TIME,VER) VALUES('sys.isDebug','0','调试开关','0', 'admin', now(), 'admin', now(), 'admin', now(), 1);</v>
      </c>
    </row>
    <row r="7" spans="2:8">
      <c r="B7" s="8" t="s">
        <v>495</v>
      </c>
      <c r="C7" s="9">
        <v>0</v>
      </c>
      <c r="D7" s="9" t="s">
        <v>496</v>
      </c>
      <c r="E7" s="8">
        <v>0</v>
      </c>
      <c r="F7" s="8"/>
      <c r="G7" s="9" t="s">
        <v>497</v>
      </c>
      <c r="H7" t="str">
        <f t="shared" si="0"/>
        <v>INSERT INTO COMM_CONFIG(SYSTEM_KEY,SYSTEM_VALUE,SYSTEM_DESC,DEL_FLG,CRT_ID,CRT_TIME,UPD_ID,UPD_TIME,ACT_ID,ACT_TIME,VER) VALUES('sys.needAuthCheck','0','权限控制开关','0', 'admin', now(), 'admin', now(), 'admin', now(), 1);</v>
      </c>
    </row>
    <row r="8" spans="2:8">
      <c r="B8" s="8" t="s">
        <v>498</v>
      </c>
      <c r="C8" s="9" t="s">
        <v>499</v>
      </c>
      <c r="D8" s="9" t="s">
        <v>500</v>
      </c>
      <c r="E8" s="8">
        <v>0</v>
      </c>
      <c r="F8" s="8" t="s">
        <v>501</v>
      </c>
      <c r="G8" s="9"/>
      <c r="H8" t="str">
        <f t="shared" si="0"/>
        <v>INSERT INTO COMM_CONFIG(SYSTEM_KEY,SYSTEM_VALUE,SYSTEM_DESC,DEL_FLG,CRT_ID,CRT_TIME,UPD_ID,UPD_TIME,ACT_ID,ACT_TIME,VER) VALUES('SMS.URL','http://sms.api.ums86.com:8899/sms/Api/Send.do','短信API地址','0', 'admin', now(), 'admin', now(), 'admin', now(), 1);</v>
      </c>
    </row>
    <row r="9" spans="2:8">
      <c r="B9" s="8" t="s">
        <v>502</v>
      </c>
      <c r="C9" s="9">
        <v>230716</v>
      </c>
      <c r="D9" s="9" t="s">
        <v>503</v>
      </c>
      <c r="E9" s="8">
        <v>0</v>
      </c>
      <c r="F9" s="8" t="s">
        <v>501</v>
      </c>
      <c r="G9" s="9"/>
      <c r="H9" t="str">
        <f t="shared" si="0"/>
        <v>INSERT INTO COMM_CONFIG(SYSTEM_KEY,SYSTEM_VALUE,SYSTEM_DESC,DEL_FLG,CRT_ID,CRT_TIME,UPD_ID,UPD_TIME,ACT_ID,ACT_TIME,VER) VALUES('SMS.SUPPLIER','230716','短信供应商编码','0', 'admin', now(), 'admin', now(), 'admin', now(), 1);</v>
      </c>
    </row>
    <row r="10" spans="2:8">
      <c r="B10" s="11" t="s">
        <v>504</v>
      </c>
      <c r="C10" s="9" t="s">
        <v>336</v>
      </c>
      <c r="D10" s="12" t="s">
        <v>505</v>
      </c>
      <c r="E10" s="8">
        <v>0</v>
      </c>
      <c r="F10" s="11"/>
      <c r="G10" s="12"/>
      <c r="H10" t="str">
        <f t="shared" si="0"/>
        <v>INSERT INTO COMM_CONFIG(SYSTEM_KEY,SYSTEM_VALUE,SYSTEM_DESC,DEL_FLG,CRT_ID,CRT_TIME,UPD_ID,UPD_TIME,ACT_ID,ACT_TIME,VER) VALUES('SMS.USER','SNK','短信用户','0', 'admin', now(), 'admin', now(), 'admin', now(), 1);</v>
      </c>
    </row>
    <row r="11" spans="2:8">
      <c r="B11" s="11" t="s">
        <v>506</v>
      </c>
      <c r="C11" s="9" t="s">
        <v>507</v>
      </c>
      <c r="D11" s="12" t="s">
        <v>508</v>
      </c>
      <c r="E11" s="8">
        <v>0</v>
      </c>
      <c r="F11" s="11"/>
      <c r="G11" s="12"/>
      <c r="H11" t="str">
        <f t="shared" si="0"/>
        <v>INSERT INTO COMM_CONFIG(SYSTEM_KEY,SYSTEM_VALUE,SYSTEM_DESC,DEL_FLG,CRT_ID,CRT_TIME,UPD_ID,UPD_TIME,ACT_ID,ACT_TIME,VER) VALUES('SMS.PWD','shennongke123456','短信密码','0', 'admin', now(), 'admin', now(), 'admin', now(), 1);</v>
      </c>
    </row>
    <row r="12" spans="2:8">
      <c r="B12" s="11" t="s">
        <v>509</v>
      </c>
      <c r="C12" s="9" t="s">
        <v>569</v>
      </c>
      <c r="D12" s="12" t="s">
        <v>511</v>
      </c>
      <c r="E12" s="8">
        <v>0</v>
      </c>
      <c r="F12" s="11"/>
      <c r="G12" s="12"/>
      <c r="H12" t="str">
        <f t="shared" si="0"/>
        <v>INSERT INTO COMM_CONFIG(SYSTEM_KEY,SYSTEM_VALUE,SYSTEM_DESC,DEL_FLG,CRT_ID,CRT_TIME,UPD_ID,UPD_TIME,ACT_ID,ACT_TIME,VER) VALUES('ftp.ip','10.47.73.104','FTP IP','0', 'admin', now(), 'admin', now(), 'admin', now(), 1);</v>
      </c>
    </row>
    <row r="13" spans="2:8">
      <c r="B13" s="11" t="s">
        <v>512</v>
      </c>
      <c r="C13" s="9" t="s">
        <v>513</v>
      </c>
      <c r="D13" s="12" t="s">
        <v>514</v>
      </c>
      <c r="E13" s="8">
        <v>0</v>
      </c>
      <c r="F13" s="11"/>
      <c r="G13" s="12"/>
      <c r="H13" t="str">
        <f t="shared" si="0"/>
        <v>INSERT INTO COMM_CONFIG(SYSTEM_KEY,SYSTEM_VALUE,SYSTEM_DESC,DEL_FLG,CRT_ID,CRT_TIME,UPD_ID,UPD_TIME,ACT_ID,ACT_TIME,VER) VALUES('ftp.user','ftp_user','FTP User','0', 'admin', now(), 'admin', now(), 'admin', now(), 1);</v>
      </c>
    </row>
    <row r="14" spans="2:8">
      <c r="B14" s="11" t="s">
        <v>515</v>
      </c>
      <c r="C14" s="9">
        <v>123456</v>
      </c>
      <c r="D14" s="12" t="s">
        <v>516</v>
      </c>
      <c r="E14" s="8">
        <v>0</v>
      </c>
      <c r="F14" s="11"/>
      <c r="G14" s="12"/>
      <c r="H14" t="str">
        <f t="shared" si="0"/>
        <v>INSERT INTO COMM_CONFIG(SYSTEM_KEY,SYSTEM_VALUE,SYSTEM_DESC,DEL_FLG,CRT_ID,CRT_TIME,UPD_ID,UPD_TIME,ACT_ID,ACT_TIME,VER) VALUES('ftp.pwd','123456','FTP PWD','0', 'admin', now(), 'admin', now(), 'admin', now(), 1);</v>
      </c>
    </row>
    <row r="15" spans="2:8">
      <c r="B15" s="11" t="s">
        <v>517</v>
      </c>
      <c r="C15" s="9" t="s">
        <v>518</v>
      </c>
      <c r="D15" s="12" t="s">
        <v>519</v>
      </c>
      <c r="E15" s="11">
        <v>0</v>
      </c>
      <c r="F15" s="11"/>
      <c r="G15" s="12"/>
      <c r="H15" t="str">
        <f t="shared" si="0"/>
        <v>INSERT INTO COMM_CONFIG(SYSTEM_KEY,SYSTEM_VALUE,SYSTEM_DESC,DEL_FLG,CRT_ID,CRT_TIME,UPD_ID,UPD_TIME,ACT_ID,ACT_TIME,VER) VALUES('ftp.http.url','http://t-bms.xianchida.com/msk-image','文件服务器http访问url','0', 'admin', now(), 'admin', now(), 'admin', now(), 1);</v>
      </c>
    </row>
    <row r="16" spans="2:8">
      <c r="B16" s="11" t="s">
        <v>520</v>
      </c>
      <c r="C16" s="9" t="s">
        <v>521</v>
      </c>
      <c r="D16" s="12" t="s">
        <v>522</v>
      </c>
      <c r="E16" s="8">
        <v>0</v>
      </c>
      <c r="F16" s="11"/>
      <c r="G16" s="12"/>
      <c r="H16" t="str">
        <f t="shared" si="0"/>
        <v>INSERT INTO COMM_CONFIG(SYSTEM_KEY,SYSTEM_VALUE,SYSTEM_DESC,DEL_FLG,CRT_ID,CRT_TIME,UPD_ID,UPD_TIME,ACT_ID,ACT_TIME,VER) VALUES('ftp.imageRootPath','/msk-image/','FTP 图片根目录','0', 'admin', now(), 'admin', now(), 'admin', now(), 1);</v>
      </c>
    </row>
    <row r="17" spans="2:8">
      <c r="B17" s="11" t="s">
        <v>523</v>
      </c>
      <c r="C17" s="9" t="s">
        <v>570</v>
      </c>
      <c r="D17" s="12" t="s">
        <v>525</v>
      </c>
      <c r="E17" s="8">
        <v>0</v>
      </c>
      <c r="F17" s="11"/>
      <c r="G17" s="12"/>
      <c r="H17" t="str">
        <f t="shared" si="0"/>
        <v>INSERT INTO COMM_CONFIG(SYSTEM_KEY,SYSTEM_VALUE,SYSTEM_DESC,DEL_FLG,CRT_ID,CRT_TIME,UPD_ID,UPD_TIME,ACT_ID,ACT_TIME,VER) VALUES('wms.ftp.ip','10.47.58.129','仓储物流系统FTP地址','0', 'admin', now(), 'admin', now(), 'admin', now(), 1);</v>
      </c>
    </row>
    <row r="18" spans="2:8">
      <c r="B18" s="11" t="s">
        <v>526</v>
      </c>
      <c r="C18" s="9" t="s">
        <v>527</v>
      </c>
      <c r="D18" s="12" t="s">
        <v>528</v>
      </c>
      <c r="E18" s="8">
        <v>0</v>
      </c>
      <c r="F18" s="11"/>
      <c r="G18" s="12"/>
      <c r="H18" t="str">
        <f t="shared" si="0"/>
        <v>INSERT INTO COMM_CONFIG(SYSTEM_KEY,SYSTEM_VALUE,SYSTEM_DESC,DEL_FLG,CRT_ID,CRT_TIME,UPD_ID,UPD_TIME,ACT_ID,ACT_TIME,VER) VALUES('wms.ftp.user','fuji','仓储物流系统FTP用户','0', 'admin', now(), 'admin', now(), 'admin', now(), 1);</v>
      </c>
    </row>
    <row r="19" spans="2:8">
      <c r="B19" s="11" t="s">
        <v>529</v>
      </c>
      <c r="C19" s="9" t="s">
        <v>530</v>
      </c>
      <c r="D19" s="12" t="s">
        <v>531</v>
      </c>
      <c r="E19" s="8">
        <v>0</v>
      </c>
      <c r="F19" s="11"/>
      <c r="G19" s="12"/>
      <c r="H19" t="str">
        <f t="shared" si="0"/>
        <v>INSERT INTO COMM_CONFIG(SYSTEM_KEY,SYSTEM_VALUE,SYSTEM_DESC,DEL_FLG,CRT_ID,CRT_TIME,UPD_ID,UPD_TIME,ACT_ID,ACT_TIME,VER) VALUES('wms.ftp.pwd','fuji123456','仓储物流系统FTP密码','0', 'admin', now(), 'admin', now(), 'admin', now(), 1);</v>
      </c>
    </row>
    <row r="20" spans="2:8">
      <c r="B20" s="11" t="s">
        <v>532</v>
      </c>
      <c r="C20" s="9">
        <v>2</v>
      </c>
      <c r="D20" s="12" t="s">
        <v>533</v>
      </c>
      <c r="E20" s="8">
        <v>0</v>
      </c>
      <c r="F20" s="11"/>
      <c r="G20" s="12"/>
      <c r="H20" t="str">
        <f t="shared" si="0"/>
        <v>INSERT INTO COMM_CONFIG(SYSTEM_KEY,SYSTEM_VALUE,SYSTEM_DESC,DEL_FLG,CRT_ID,CRT_TIME,UPD_ID,UPD_TIME,ACT_ID,ACT_TIME,VER) VALUES('supplier_dept_id','2','供应商的部门ID固定值设定','0', 'admin', now(), 'admin', now(), 'admin', now(), 1);</v>
      </c>
    </row>
    <row r="21" spans="2:8">
      <c r="B21" s="11" t="s">
        <v>534</v>
      </c>
      <c r="C21" s="9">
        <v>7</v>
      </c>
      <c r="D21" s="12" t="s">
        <v>535</v>
      </c>
      <c r="E21" s="8">
        <v>0</v>
      </c>
      <c r="F21" s="11"/>
      <c r="G21" s="12"/>
      <c r="H21" t="str">
        <f t="shared" si="0"/>
        <v>INSERT INTO COMM_CONFIG(SYSTEM_KEY,SYSTEM_VALUE,SYSTEM_DESC,DEL_FLG,CRT_ID,CRT_TIME,UPD_ID,UPD_TIME,ACT_ID,ACT_TIME,VER) VALUES('supplier_role_id','7','供应商的角色ID固定值设定','0', 'admin', now(), 'admin', now(), 'admin', now(), 1);</v>
      </c>
    </row>
    <row r="22" spans="2:8">
      <c r="B22" s="46" t="s">
        <v>536</v>
      </c>
      <c r="C22" s="47" t="s">
        <v>571</v>
      </c>
      <c r="D22" s="48" t="s">
        <v>538</v>
      </c>
      <c r="E22" s="46">
        <v>0</v>
      </c>
      <c r="F22" s="46"/>
      <c r="G22" s="48"/>
    </row>
    <row r="23" spans="2:8">
      <c r="B23" s="46" t="s">
        <v>539</v>
      </c>
      <c r="C23" s="47" t="s">
        <v>572</v>
      </c>
      <c r="D23" s="48" t="s">
        <v>538</v>
      </c>
      <c r="E23" s="46">
        <v>0</v>
      </c>
      <c r="F23" s="46"/>
      <c r="G23" s="48"/>
    </row>
    <row r="24" spans="2:8">
      <c r="B24" s="46" t="s">
        <v>541</v>
      </c>
      <c r="C24" s="47" t="s">
        <v>573</v>
      </c>
      <c r="D24" s="48" t="s">
        <v>543</v>
      </c>
      <c r="E24" s="46">
        <v>0</v>
      </c>
      <c r="F24" s="46"/>
      <c r="G24" s="48"/>
    </row>
    <row r="25" spans="2:8">
      <c r="B25" s="11" t="s">
        <v>544</v>
      </c>
      <c r="C25" s="50" t="s">
        <v>545</v>
      </c>
      <c r="D25" s="12" t="s">
        <v>1384</v>
      </c>
      <c r="E25" s="11">
        <v>0</v>
      </c>
      <c r="F25" s="11"/>
      <c r="G25" s="12"/>
      <c r="H25" t="str">
        <f t="shared" si="0"/>
        <v>INSERT INTO COMM_CONFIG(SYSTEM_KEY,SYSTEM_VALUE,SYSTEM_DESC,DEL_FLG,CRT_ID,CRT_TIME,UPD_ID,UPD_TIME,ACT_ID,ACT_TIME,VER) VALUES('file.server.upload','http://t-file.xianchida.com/_upload','文件上传(外网地址)','0', 'admin', now(), 'admin', now(), 'admin', now(), 1);</v>
      </c>
    </row>
    <row r="26" spans="2:8">
      <c r="B26" s="56" t="s">
        <v>547</v>
      </c>
      <c r="C26" s="57" t="s">
        <v>548</v>
      </c>
      <c r="D26" s="58" t="s">
        <v>1385</v>
      </c>
      <c r="E26" s="59">
        <v>0</v>
      </c>
      <c r="F26" s="59"/>
      <c r="G26" s="58"/>
      <c r="H26" t="str">
        <f t="shared" si="0"/>
        <v>INSERT INTO COMM_CONFIG(SYSTEM_KEY,SYSTEM_VALUE,SYSTEM_DESC,DEL_FLG,CRT_ID,CRT_TIME,UPD_ID,UPD_TIME,ACT_ID,ACT_TIME,VER) VALUES('file.server','http://t-file.xianchida.com/_download','获得文件(外网地址)','0', 'admin', now(), 'admin', now(), 'admin', now(), 1);</v>
      </c>
    </row>
    <row r="27" spans="2:8">
      <c r="B27" s="82" t="s">
        <v>1375</v>
      </c>
      <c r="C27" s="84" t="s">
        <v>1382</v>
      </c>
      <c r="D27" s="83" t="s">
        <v>1386</v>
      </c>
      <c r="E27" s="82">
        <v>0</v>
      </c>
      <c r="F27" s="82"/>
      <c r="G27" s="82"/>
      <c r="H27" t="str">
        <f t="shared" si="0"/>
        <v>INSERT INTO COMM_CONFIG(SYSTEM_KEY,SYSTEM_VALUE,SYSTEM_DESC,DEL_FLG,CRT_ID,CRT_TIME,UPD_ID,UPD_TIME,ACT_ID,ACT_TIME,VER) VALUES('file.server.upload.inside','http://10.171.246.164/_upload','文件上传(内网地址)','0', 'admin', now(), 'admin', now(), 'admin', now(), 1);</v>
      </c>
    </row>
    <row r="28" spans="2:8">
      <c r="B28" s="82" t="s">
        <v>1376</v>
      </c>
      <c r="C28" s="84" t="s">
        <v>1383</v>
      </c>
      <c r="D28" s="83" t="s">
        <v>1387</v>
      </c>
      <c r="E28" s="82">
        <v>0</v>
      </c>
      <c r="F28" s="82"/>
      <c r="G28" s="82"/>
      <c r="H28" t="str">
        <f t="shared" si="0"/>
        <v>INSERT INTO COMM_CONFIG(SYSTEM_KEY,SYSTEM_VALUE,SYSTEM_DESC,DEL_FLG,CRT_ID,CRT_TIME,UPD_ID,UPD_TIME,ACT_ID,ACT_TIME,VER) VALUES('file.server.download.inside','http://10.171.246.164/_download','获得文件(内网地址)','0', 'admin', now(), 'admin', now(), 'admin', now(), 1);</v>
      </c>
    </row>
    <row r="29" spans="2:8">
      <c r="B29" s="59" t="s">
        <v>550</v>
      </c>
      <c r="C29" s="57" t="s">
        <v>1404</v>
      </c>
      <c r="D29" s="58" t="s">
        <v>552</v>
      </c>
      <c r="E29" s="59">
        <v>0</v>
      </c>
      <c r="F29" s="59" t="s">
        <v>553</v>
      </c>
      <c r="G29" s="58" t="s">
        <v>554</v>
      </c>
      <c r="H29" t="str">
        <f t="shared" si="0"/>
        <v>INSERT INTO COMM_CONFIG(SYSTEM_KEY,SYSTEM_VALUE,SYSTEM_DESC,DEL_FLG,CRT_ID,CRT_TIME,UPD_ID,UPD_TIME,ACT_ID,ACT_TIME,VER) VALUES('sso.url.outside','http://t-bms.xianchida.com/msk-sso-server','SSO站点外网地址','0', 'admin', now(), 'admin', now(), 'admin', now(), 1);</v>
      </c>
    </row>
    <row r="30" spans="2:8">
      <c r="B30" s="59" t="s">
        <v>555</v>
      </c>
      <c r="C30" s="57" t="s">
        <v>828</v>
      </c>
      <c r="D30" s="58" t="s">
        <v>556</v>
      </c>
      <c r="E30" s="59">
        <v>0</v>
      </c>
      <c r="F30" s="59" t="s">
        <v>553</v>
      </c>
      <c r="G30" s="58" t="s">
        <v>557</v>
      </c>
      <c r="H30" t="str">
        <f t="shared" si="0"/>
        <v>INSERT INTO COMM_CONFIG(SYSTEM_KEY,SYSTEM_VALUE,SYSTEM_DESC,DEL_FLG,CRT_ID,CRT_TIME,UPD_ID,UPD_TIME,ACT_ID,ACT_TIME,VER) VALUES('sso.url.inside','http://t-bms.xianchida.com/msk-sso-server','SSO站点内网地址','0', 'admin', now(), 'admin', now(), 'admin', now(), 1);</v>
      </c>
    </row>
    <row r="31" spans="2:8">
      <c r="B31" s="59" t="s">
        <v>558</v>
      </c>
      <c r="C31" s="57"/>
      <c r="D31" s="58" t="s">
        <v>559</v>
      </c>
      <c r="E31" s="59">
        <v>0</v>
      </c>
      <c r="F31" s="59" t="s">
        <v>560</v>
      </c>
      <c r="G31" s="58"/>
      <c r="H31" t="str">
        <f t="shared" si="0"/>
        <v>INSERT INTO COMM_CONFIG(SYSTEM_KEY,SYSTEM_VALUE,SYSTEM_DESC,DEL_FLG,CRT_ID,CRT_TIME,UPD_ID,UPD_TIME,ACT_ID,ACT_TIME,VER) VALUES('http.proxyHost',NULL,'HTTP正向代理主机IP（没有代理时不要设）','0', 'admin', now(), 'admin', now(), 'admin', now(), 1);</v>
      </c>
    </row>
    <row r="32" spans="2:8">
      <c r="B32" s="59" t="s">
        <v>561</v>
      </c>
      <c r="C32" s="57"/>
      <c r="D32" s="58" t="s">
        <v>562</v>
      </c>
      <c r="E32" s="59">
        <v>0</v>
      </c>
      <c r="F32" s="59" t="s">
        <v>560</v>
      </c>
      <c r="G32" s="58"/>
      <c r="H32" t="str">
        <f t="shared" si="0"/>
        <v>INSERT INTO COMM_CONFIG(SYSTEM_KEY,SYSTEM_VALUE,SYSTEM_DESC,DEL_FLG,CRT_ID,CRT_TIME,UPD_ID,UPD_TIME,ACT_ID,ACT_TIME,VER) VALUES('http.proxyPort',NULL,'HTTP正向代理主机端口（没有代理时不要设）','0', 'admin', now(), 'admin', now(), 'admin', now(), 1);</v>
      </c>
    </row>
    <row r="33" spans="2:8">
      <c r="B33" s="59" t="s">
        <v>563</v>
      </c>
      <c r="C33" s="57" t="s">
        <v>829</v>
      </c>
      <c r="D33" s="58" t="s">
        <v>574</v>
      </c>
      <c r="E33" s="59">
        <v>0</v>
      </c>
      <c r="F33" s="59"/>
      <c r="G33" s="58" t="s">
        <v>554</v>
      </c>
      <c r="H33" t="str">
        <f t="shared" si="0"/>
        <v>INSERT INTO COMM_CONFIG(SYSTEM_KEY,SYSTEM_VALUE,SYSTEM_DESC,DEL_FLG,CRT_ID,CRT_TIME,UPD_ID,UPD_TIME,ACT_ID,ACT_TIME,VER) VALUES('web.server.url','http://t-bms.xianchida.com/msk-web','后台系统站点外网地址','0', 'admin', now(), 'admin', now(), 'admin', now(), 1);</v>
      </c>
    </row>
    <row r="34" spans="2:8">
      <c r="B34" s="59" t="s">
        <v>565</v>
      </c>
      <c r="C34" s="85" t="s">
        <v>1381</v>
      </c>
      <c r="D34" s="58" t="s">
        <v>566</v>
      </c>
      <c r="E34" s="59">
        <v>0</v>
      </c>
      <c r="F34" s="59" t="s">
        <v>567</v>
      </c>
      <c r="G34" s="58" t="s">
        <v>557</v>
      </c>
      <c r="H34" t="str">
        <f t="shared" si="0"/>
        <v>INSERT INTO COMM_CONFIG(SYSTEM_KEY,SYSTEM_VALUE,SYSTEM_DESC,DEL_FLG,CRT_ID,CRT_TIME,UPD_ID,UPD_TIME,ACT_ID,ACT_TIME,VER) VALUES('api.url.inside','http://10.171.246.164/msk-web','后台系统内部接口内网地址','0', 'admin', now(), 'admin', now(), 'admin', now(), 1);</v>
      </c>
    </row>
    <row r="35" spans="2:8">
      <c r="B35" s="59" t="s">
        <v>808</v>
      </c>
      <c r="C35" s="57" t="s">
        <v>830</v>
      </c>
      <c r="D35" s="58" t="s">
        <v>810</v>
      </c>
      <c r="E35" s="59">
        <v>0</v>
      </c>
      <c r="F35" s="59"/>
      <c r="G35" s="58"/>
      <c r="H35" t="str">
        <f t="shared" si="0"/>
        <v>INSERT INTO COMM_CONFIG(SYSTEM_KEY,SYSTEM_VALUE,SYSTEM_DESC,DEL_FLG,CRT_ID,CRT_TIME,UPD_ID,UPD_TIME,ACT_ID,ACT_TIME,VER) VALUES('api.url.searchPrice','http://10.171.246.164/msk-snk-price/api/sp/getPriceBox','查询箱价接口地址','0', 'admin', now(), 'admin', now(), 'admin', now(), 1);</v>
      </c>
    </row>
    <row r="36" spans="2:8">
      <c r="B36" s="59" t="s">
        <v>811</v>
      </c>
      <c r="C36" s="57" t="s">
        <v>831</v>
      </c>
      <c r="D36" s="58" t="s">
        <v>642</v>
      </c>
      <c r="E36" s="59">
        <v>0</v>
      </c>
      <c r="F36" s="59"/>
      <c r="G36" s="58" t="s">
        <v>646</v>
      </c>
      <c r="H36" t="str">
        <f t="shared" si="0"/>
        <v>INSERT INTO COMM_CONFIG(SYSTEM_KEY,SYSTEM_VALUE,SYSTEM_DESC,DEL_FLG,CRT_ID,CRT_TIME,UPD_ID,UPD_TIME,ACT_ID,ACT_TIME,VER) VALUES('api.url.searchPrintOrder','http://10.171.246.164/msk-web/api/v1/so/detail/print','查询打印订单详细信息接口地址','0', 'admin', now(), 'admin', now(), 'admin', now(), 1);</v>
      </c>
    </row>
    <row r="37" spans="2:8">
      <c r="B37" s="59" t="s">
        <v>812</v>
      </c>
      <c r="C37" s="57" t="s">
        <v>1406</v>
      </c>
      <c r="D37" s="58" t="s">
        <v>643</v>
      </c>
      <c r="E37" s="59">
        <v>0</v>
      </c>
      <c r="F37" s="59"/>
      <c r="G37" s="58" t="s">
        <v>646</v>
      </c>
      <c r="H37" t="str">
        <f t="shared" si="0"/>
        <v>INSERT INTO COMM_CONFIG(SYSTEM_KEY,SYSTEM_VALUE,SYSTEM_DESC,DEL_FLG,CRT_ID,CRT_TIME,UPD_ID,UPD_TIME,ACT_ID,ACT_TIME,VER) VALUES('api.url.printOrder','http://t-bms.xianchida.com/msk-print/print/pdf/order/PDF000001','打印订单详细信息接口地址','0', 'admin', now(), 'admin', now(), 'admin', now(), 1);</v>
      </c>
    </row>
    <row r="38" spans="2:8">
      <c r="B38" s="59" t="s">
        <v>813</v>
      </c>
      <c r="C38" s="57" t="s">
        <v>707</v>
      </c>
      <c r="D38" s="58" t="s">
        <v>814</v>
      </c>
      <c r="E38" s="59">
        <v>0</v>
      </c>
      <c r="F38" s="59" t="s">
        <v>815</v>
      </c>
      <c r="G38" s="58" t="s">
        <v>816</v>
      </c>
      <c r="H38" t="str">
        <f t="shared" si="0"/>
        <v>INSERT INTO COMM_CONFIG(SYSTEM_KEY,SYSTEM_VALUE,SYSTEM_DESC,DEL_FLG,CRT_ID,CRT_TIME,UPD_ID,UPD_TIME,ACT_ID,ACT_TIME,VER) VALUES('temp.file.localpath','/xcdhome/temp','临时文件目录','0', 'admin', now(), 'admin', now(), 'admin', now(), 1);</v>
      </c>
    </row>
    <row r="39" spans="2:8">
      <c r="B39" s="59" t="s">
        <v>817</v>
      </c>
      <c r="C39" s="57" t="s">
        <v>861</v>
      </c>
      <c r="D39" s="58" t="s">
        <v>766</v>
      </c>
      <c r="E39" s="59">
        <v>0</v>
      </c>
      <c r="F39" s="59" t="s">
        <v>818</v>
      </c>
      <c r="G39" s="58" t="s">
        <v>819</v>
      </c>
      <c r="H39" t="str">
        <f t="shared" si="0"/>
        <v>INSERT INTO COMM_CONFIG(SYSTEM_KEY,SYSTEM_VALUE,SYSTEM_DESC,DEL_FLG,CRT_ID,CRT_TIME,UPD_ID,UPD_TIME,ACT_ID,ACT_TIME,VER) VALUES('api.url.sellerCharging','http://10.171.246.164/msk-so-cp/api/cp/sellerCharging','卖家计费项接口地址','0', 'admin', now(), 'admin', now(), 'admin', now(), 1);</v>
      </c>
    </row>
    <row r="40" spans="2:8">
      <c r="B40" s="59" t="s">
        <v>820</v>
      </c>
      <c r="C40" s="57" t="s">
        <v>832</v>
      </c>
      <c r="D40" s="58" t="s">
        <v>767</v>
      </c>
      <c r="E40" s="59">
        <v>0</v>
      </c>
      <c r="F40" s="59" t="s">
        <v>818</v>
      </c>
      <c r="G40" s="58" t="s">
        <v>819</v>
      </c>
      <c r="H40" t="str">
        <f t="shared" si="0"/>
        <v>INSERT INTO COMM_CONFIG(SYSTEM_KEY,SYSTEM_VALUE,SYSTEM_DESC,DEL_FLG,CRT_ID,CRT_TIME,UPD_ID,UPD_TIME,ACT_ID,ACT_TIME,VER) VALUES('api.url.transaction','http://10.171.246.164/msk-so-cp/api/cp/transaction','交易明细接口地址','0', 'admin', now(), 'admin', now(), 'admin', now(), 1);</v>
      </c>
    </row>
    <row r="41" spans="2:8">
      <c r="B41" s="59" t="s">
        <v>821</v>
      </c>
      <c r="C41" s="57" t="s">
        <v>784</v>
      </c>
      <c r="D41" s="58" t="s">
        <v>823</v>
      </c>
      <c r="E41" s="59">
        <v>0</v>
      </c>
      <c r="F41" s="59" t="s">
        <v>824</v>
      </c>
      <c r="G41" s="58" t="s">
        <v>825</v>
      </c>
      <c r="H41" t="str">
        <f t="shared" si="0"/>
        <v>INSERT INTO COMM_CONFIG(SYSTEM_KEY,SYSTEM_VALUE,SYSTEM_DESC,DEL_FLG,CRT_ID,CRT_TIME,UPD_ID,UPD_TIME,ACT_ID,ACT_TIME,VER) VALUES('seller.server','http://10.171.246.164/msk-seller','卖家系统地址','0', 'admin', now(), 'admin', now(), 'admin', now(), 1);</v>
      </c>
    </row>
    <row r="42" spans="2:8">
      <c r="B42" s="59" t="s">
        <v>778</v>
      </c>
      <c r="C42" s="57" t="s">
        <v>833</v>
      </c>
      <c r="D42" s="58" t="s">
        <v>826</v>
      </c>
      <c r="E42" s="59">
        <v>0</v>
      </c>
      <c r="F42" s="59" t="s">
        <v>827</v>
      </c>
      <c r="G42" s="58" t="s">
        <v>826</v>
      </c>
      <c r="H42" t="str">
        <f t="shared" si="0"/>
        <v>INSERT INTO COMM_CONFIG(SYSTEM_KEY,SYSTEM_VALUE,SYSTEM_DESC,DEL_FLG,CRT_ID,CRT_TIME,UPD_ID,UPD_TIME,ACT_ID,ACT_TIME,VER) VALUES('org.server','http://10.171.246.164/msk-org','org-server地址','0', 'admin', now(), 'admin', now(), 'admin', now(), 1);</v>
      </c>
    </row>
    <row r="43" spans="2:8">
      <c r="B43" s="49" t="s">
        <v>851</v>
      </c>
      <c r="C43" s="50" t="s">
        <v>855</v>
      </c>
      <c r="D43" s="51" t="s">
        <v>853</v>
      </c>
      <c r="E43" s="49">
        <v>0</v>
      </c>
      <c r="F43" s="49" t="s">
        <v>854</v>
      </c>
      <c r="G43" s="51" t="s">
        <v>853</v>
      </c>
      <c r="H43" t="str">
        <f t="shared" si="0"/>
        <v>INSERT INTO COMM_CONFIG(SYSTEM_KEY,SYSTEM_VALUE,SYSTEM_DESC,DEL_FLG,CRT_ID,CRT_TIME,UPD_ID,UPD_TIME,ACT_ID,ACT_TIME,VER) VALUES('api.url.printDs','http://t-bms.xianchida.com/msk-print/print/pdf/ds/','打印发货入库单详细信息接口地址','0', 'admin', now(), 'admin', now(), 'admin', now(), 1);</v>
      </c>
    </row>
    <row r="44" spans="2:8">
      <c r="B44" s="49" t="s">
        <v>858</v>
      </c>
      <c r="C44" s="50" t="s">
        <v>862</v>
      </c>
      <c r="D44" s="51" t="s">
        <v>860</v>
      </c>
      <c r="E44" s="49">
        <v>0</v>
      </c>
      <c r="F44" s="49" t="s">
        <v>854</v>
      </c>
      <c r="G44" s="51" t="s">
        <v>860</v>
      </c>
      <c r="H44" t="str">
        <f t="shared" si="0"/>
        <v>INSERT INTO COMM_CONFIG(SYSTEM_KEY,SYSTEM_VALUE,SYSTEM_DESC,DEL_FLG,CRT_ID,CRT_TIME,UPD_ID,UPD_TIME,ACT_ID,ACT_TIME,VER) VALUES('api.url.searchPrintDelivery','http://10.171.246.164/msk-web/api/v1/deliveryDetail/pdf/print','查询打印发货入库单详细信息接口地址','0', 'admin', now(), 'admin', now(), 'admin', now(), 1);</v>
      </c>
    </row>
    <row r="45" spans="2:8">
      <c r="B45" s="49" t="s">
        <v>869</v>
      </c>
      <c r="C45" s="50" t="s">
        <v>878</v>
      </c>
      <c r="D45" s="51" t="s">
        <v>874</v>
      </c>
      <c r="E45" s="49">
        <v>0</v>
      </c>
      <c r="F45" s="49" t="s">
        <v>877</v>
      </c>
      <c r="G45" s="51" t="s">
        <v>873</v>
      </c>
      <c r="H45" t="str">
        <f t="shared" si="0"/>
        <v>INSERT INTO COMM_CONFIG(SYSTEM_KEY,SYSTEM_VALUE,SYSTEM_DESC,DEL_FLG,CRT_ID,CRT_TIME,UPD_ID,UPD_TIME,ACT_ID,ACT_TIME,VER) VALUES('api.url.getBuyerCode','http://10.171.246.164/msk-buyers/api/by/buyerCodeWithRingCode/query','查询(环标码)买家编码接口','0', 'admin', now(), 'admin', now(), 'admin', now(), 1);</v>
      </c>
    </row>
    <row r="46" spans="2:8">
      <c r="B46" s="49" t="s">
        <v>870</v>
      </c>
      <c r="C46" s="50" t="s">
        <v>879</v>
      </c>
      <c r="D46" s="51" t="s">
        <v>876</v>
      </c>
      <c r="E46" s="49">
        <v>0</v>
      </c>
      <c r="F46" s="49" t="s">
        <v>877</v>
      </c>
      <c r="G46" s="51" t="s">
        <v>875</v>
      </c>
      <c r="H46" t="str">
        <f t="shared" si="0"/>
        <v>INSERT INTO COMM_CONFIG(SYSTEM_KEY,SYSTEM_VALUE,SYSTEM_DESC,DEL_FLG,CRT_ID,CRT_TIME,UPD_ID,UPD_TIME,ACT_ID,ACT_TIME,VER) VALUES('api.url.getBuyerId','http://10.171.246.164/msk-buyers/api/by/buyerId/queryByBuyerCode','通过买家编码查询买家ID','0', 'admin', now(), 'admin', now(), 'admin', now(), 1);</v>
      </c>
    </row>
    <row r="47" spans="2:8">
      <c r="B47" s="49" t="s">
        <v>899</v>
      </c>
      <c r="C47" s="50" t="s">
        <v>904</v>
      </c>
      <c r="D47" s="51" t="s">
        <v>900</v>
      </c>
      <c r="E47" s="49">
        <v>0</v>
      </c>
      <c r="F47" s="49" t="s">
        <v>710</v>
      </c>
      <c r="G47" s="51" t="s">
        <v>901</v>
      </c>
      <c r="H47" t="str">
        <f t="shared" si="0"/>
        <v>INSERT INTO COMM_CONFIG(SYSTEM_KEY,SYSTEM_VALUE,SYSTEM_DESC,DEL_FLG,CRT_ID,CRT_TIME,UPD_ID,UPD_TIME,ACT_ID,ACT_TIME,VER) VALUES('favorites.url','http://10.171.246.164/msk-favorites','收藏夹地址','0', 'admin', now(), 'admin', now(), 'admin', now(), 1);</v>
      </c>
    </row>
    <row r="48" spans="2:8">
      <c r="B48" s="49" t="s">
        <v>906</v>
      </c>
      <c r="C48" s="63" t="s">
        <v>910</v>
      </c>
      <c r="D48" s="51" t="s">
        <v>907</v>
      </c>
      <c r="E48" s="49">
        <v>0</v>
      </c>
      <c r="F48" s="49" t="s">
        <v>710</v>
      </c>
      <c r="G48" s="51" t="s">
        <v>914</v>
      </c>
      <c r="H48" t="str">
        <f t="shared" si="0"/>
        <v>INSERT INTO COMM_CONFIG(SYSTEM_KEY,SYSTEM_VALUE,SYSTEM_DESC,DEL_FLG,CRT_ID,CRT_TIME,UPD_ID,UPD_TIME,ACT_ID,ACT_TIME,VER) VALUES('isCheckPasswordTimeSeries.flag','false','密码是否会过期开关','0', 'admin', now(), 'admin', now(), 'admin', now(), 1);</v>
      </c>
    </row>
    <row r="49" spans="2:8">
      <c r="B49" s="49" t="s">
        <v>908</v>
      </c>
      <c r="C49" s="63" t="s">
        <v>910</v>
      </c>
      <c r="D49" s="51" t="s">
        <v>912</v>
      </c>
      <c r="E49" s="49">
        <v>0</v>
      </c>
      <c r="F49" s="49" t="s">
        <v>710</v>
      </c>
      <c r="G49" s="51" t="s">
        <v>914</v>
      </c>
      <c r="H49" t="str">
        <f t="shared" si="0"/>
        <v>INSERT INTO COMM_CONFIG(SYSTEM_KEY,SYSTEM_VALUE,SYSTEM_DESC,DEL_FLG,CRT_ID,CRT_TIME,UPD_ID,UPD_TIME,ACT_ID,ACT_TIME,VER) VALUES('isForceModifyPassword.flag','false','是否强制修改密码','0', 'admin', now(), 'admin', now(), 'admin', now(), 1);</v>
      </c>
    </row>
    <row r="50" spans="2:8">
      <c r="B50" s="49" t="s">
        <v>909</v>
      </c>
      <c r="C50" s="63" t="s">
        <v>911</v>
      </c>
      <c r="D50" s="51" t="s">
        <v>913</v>
      </c>
      <c r="E50" s="49">
        <v>0</v>
      </c>
      <c r="F50" s="49" t="s">
        <v>710</v>
      </c>
      <c r="G50" s="51" t="s">
        <v>914</v>
      </c>
      <c r="H50" t="str">
        <f t="shared" si="0"/>
        <v>INSERT INTO COMM_CONFIG(SYSTEM_KEY,SYSTEM_VALUE,SYSTEM_DESC,DEL_FLG,CRT_ID,CRT_TIME,UPD_ID,UPD_TIME,ACT_ID,ACT_TIME,VER) VALUES('isInitPassword.flag','true','是否初始化密码开关','0', 'admin', now(), 'admin', now(), 'admin', now(), 1);</v>
      </c>
    </row>
    <row r="51" spans="2:8">
      <c r="B51" s="49" t="s">
        <v>938</v>
      </c>
      <c r="C51" s="50" t="s">
        <v>943</v>
      </c>
      <c r="D51" s="51" t="s">
        <v>940</v>
      </c>
      <c r="E51" s="49">
        <v>0</v>
      </c>
      <c r="F51" s="49" t="s">
        <v>942</v>
      </c>
      <c r="G51" s="51" t="s">
        <v>940</v>
      </c>
      <c r="H51" t="str">
        <f t="shared" si="0"/>
        <v>INSERT INTO COMM_CONFIG(SYSTEM_KEY,SYSTEM_VALUE,SYSTEM_DESC,DEL_FLG,CRT_ID,CRT_TIME,UPD_ID,UPD_TIME,ACT_ID,ACT_TIME,VER) VALUES('api.url.getPriceWay','http://10.171.246.164/msk-snk-price/api/pd/getPriceWayList','获得价盘通道信息接口','0', 'admin', now(), 'admin', now(), 'admin', now(), 1);</v>
      </c>
    </row>
    <row r="52" spans="2:8">
      <c r="B52" s="82" t="s">
        <v>1440</v>
      </c>
      <c r="C52" s="87" t="s">
        <v>1468</v>
      </c>
      <c r="D52" s="83" t="s">
        <v>1442</v>
      </c>
      <c r="E52" s="82">
        <v>0</v>
      </c>
      <c r="F52" s="82" t="s">
        <v>1443</v>
      </c>
      <c r="G52" s="83" t="s">
        <v>1444</v>
      </c>
      <c r="H52" t="str">
        <f t="shared" si="0"/>
        <v>INSERT INTO COMM_CONFIG(SYSTEM_KEY,SYSTEM_VALUE,SYSTEM_DESC,DEL_FLG,CRT_ID,CRT_TIME,UPD_ID,UPD_TIME,ACT_ID,ACT_TIME,VER) VALUES('mail.from','root@xianchida.com','邮件发送人','0', 'admin', now(), 'admin', now(), 'admin', now(), 1);</v>
      </c>
    </row>
    <row r="53" spans="2:8">
      <c r="B53" s="82" t="s">
        <v>1445</v>
      </c>
      <c r="C53" s="87" t="s">
        <v>1466</v>
      </c>
      <c r="D53" s="83" t="s">
        <v>1447</v>
      </c>
      <c r="E53" s="82">
        <v>0</v>
      </c>
      <c r="F53" s="82" t="s">
        <v>1443</v>
      </c>
      <c r="G53" s="83" t="s">
        <v>1444</v>
      </c>
      <c r="H53" t="str">
        <f t="shared" si="0"/>
        <v>INSERT INTO COMM_CONFIG(SYSTEM_KEY,SYSTEM_VALUE,SYSTEM_DESC,DEL_FLG,CRT_ID,CRT_TIME,UPD_ID,UPD_TIME,ACT_ID,ACT_TIME,VER) VALUES('mail.host','10.45.21.248','邮箱服务器','0', 'admin', now(), 'admin', now(), 'admin', now(), 1);</v>
      </c>
    </row>
    <row r="54" spans="2:8">
      <c r="B54" s="82" t="s">
        <v>1459</v>
      </c>
      <c r="C54" s="87" t="s">
        <v>1469</v>
      </c>
      <c r="D54" s="83" t="s">
        <v>1461</v>
      </c>
      <c r="E54" s="82">
        <v>0</v>
      </c>
      <c r="F54" s="82" t="s">
        <v>1443</v>
      </c>
      <c r="G54" s="83" t="s">
        <v>1444</v>
      </c>
      <c r="H54" t="str">
        <f t="shared" si="0"/>
        <v>INSERT INTO COMM_CONFIG(SYSTEM_KEY,SYSTEM_VALUE,SYSTEM_DESC,DEL_FLG,CRT_ID,CRT_TIME,UPD_ID,UPD_TIME,ACT_ID,ACT_TIME,VER) VALUES('mail.username','root@xianchida.com','邮箱登录名','0', 'admin', now(), 'admin', now(), 'admin', now(), 1);</v>
      </c>
    </row>
    <row r="55" spans="2:8">
      <c r="B55" s="82" t="s">
        <v>1448</v>
      </c>
      <c r="C55" s="87">
        <v>123456</v>
      </c>
      <c r="D55" s="83" t="s">
        <v>1450</v>
      </c>
      <c r="E55" s="82">
        <v>0</v>
      </c>
      <c r="F55" s="82" t="s">
        <v>1443</v>
      </c>
      <c r="G55" s="83" t="s">
        <v>1444</v>
      </c>
      <c r="H55" t="str">
        <f t="shared" si="0"/>
        <v>INSERT INTO COMM_CONFIG(SYSTEM_KEY,SYSTEM_VALUE,SYSTEM_DESC,DEL_FLG,CRT_ID,CRT_TIME,UPD_ID,UPD_TIME,ACT_ID,ACT_TIME,VER) VALUES('mail.password','123456','邮箱登录名的密码','0', 'admin', now(), 'admin', now(), 'admin', now(), 1);</v>
      </c>
    </row>
    <row r="56" spans="2:8">
      <c r="B56" s="82" t="s">
        <v>1451</v>
      </c>
      <c r="C56" s="87">
        <v>25</v>
      </c>
      <c r="D56" s="83" t="s">
        <v>1452</v>
      </c>
      <c r="E56" s="82">
        <v>0</v>
      </c>
      <c r="F56" s="82" t="s">
        <v>1443</v>
      </c>
      <c r="G56" s="83" t="s">
        <v>1444</v>
      </c>
      <c r="H56" t="str">
        <f t="shared" si="0"/>
        <v>INSERT INTO COMM_CONFIG(SYSTEM_KEY,SYSTEM_VALUE,SYSTEM_DESC,DEL_FLG,CRT_ID,CRT_TIME,UPD_ID,UPD_TIME,ACT_ID,ACT_TIME,VER) VALUES('mail.port','25','邮箱服务器端口','0', 'admin', now(), 'admin', now(), 'admin', now(), 1);</v>
      </c>
    </row>
    <row r="57" spans="2:8">
      <c r="B57" s="82" t="s">
        <v>1453</v>
      </c>
      <c r="C57" s="87"/>
      <c r="D57" s="83" t="s">
        <v>1455</v>
      </c>
      <c r="E57" s="82">
        <v>0</v>
      </c>
      <c r="F57" s="82" t="s">
        <v>1443</v>
      </c>
      <c r="G57" s="83" t="s">
        <v>1444</v>
      </c>
      <c r="H57" t="str">
        <f t="shared" si="0"/>
        <v>INSERT INTO COMM_CONFIG(SYSTEM_KEY,SYSTEM_VALUE,SYSTEM_DESC,DEL_FLG,CRT_ID,CRT_TIME,UPD_ID,UPD_TIME,ACT_ID,ACT_TIME,VER) VALUES('mail.proxyHost',NULL,'代理服务器','0', 'admin', now(), 'admin', now(), 'admin', now(), 1);</v>
      </c>
    </row>
    <row r="58" spans="2:8">
      <c r="B58" s="82" t="s">
        <v>1454</v>
      </c>
      <c r="C58" s="87"/>
      <c r="D58" s="83" t="s">
        <v>1456</v>
      </c>
      <c r="E58" s="82">
        <v>0</v>
      </c>
      <c r="F58" s="82" t="s">
        <v>1443</v>
      </c>
      <c r="G58" s="83" t="s">
        <v>1444</v>
      </c>
      <c r="H58" t="str">
        <f t="shared" si="0"/>
        <v>INSERT INTO COMM_CONFIG(SYSTEM_KEY,SYSTEM_VALUE,SYSTEM_DESC,DEL_FLG,CRT_ID,CRT_TIME,UPD_ID,UPD_TIME,ACT_ID,ACT_TIME,VER) VALUES('mail.proxyPort',NULL,'代理服务器端口','0', 'admin', now(), 'admin', now(), 'admin', now(), 1);</v>
      </c>
    </row>
    <row r="59" spans="2:8">
      <c r="B59" s="82" t="s">
        <v>1457</v>
      </c>
      <c r="C59" s="87" t="s">
        <v>1467</v>
      </c>
      <c r="D59" s="83" t="s">
        <v>1463</v>
      </c>
      <c r="E59" s="82">
        <v>0</v>
      </c>
      <c r="F59" s="82" t="s">
        <v>1443</v>
      </c>
      <c r="G59" s="83" t="s">
        <v>1444</v>
      </c>
      <c r="H59" t="str">
        <f t="shared" si="0"/>
        <v>INSERT INTO COMM_CONFIG(SYSTEM_KEY,SYSTEM_VALUE,SYSTEM_DESC,DEL_FLG,CRT_ID,CRT_TIME,UPD_ID,UPD_TIME,ACT_ID,ACT_TIME,VER) VALUES('mail.sender','oms-test','邮箱发送人名称','0', 'admin', now(), 'admin', now(), 'admin', now(), 1);</v>
      </c>
    </row>
    <row r="60" spans="2:8">
      <c r="B60" s="82" t="s">
        <v>1458</v>
      </c>
      <c r="C60" s="87" t="b">
        <v>0</v>
      </c>
      <c r="D60" s="83" t="s">
        <v>1464</v>
      </c>
      <c r="E60" s="82">
        <v>0</v>
      </c>
      <c r="F60" s="82" t="s">
        <v>1443</v>
      </c>
      <c r="G60" s="83" t="s">
        <v>1444</v>
      </c>
      <c r="H60" t="str">
        <f t="shared" si="0"/>
        <v>INSERT INTO COMM_CONFIG(SYSTEM_KEY,SYSTEM_VALUE,SYSTEM_DESC,DEL_FLG,CRT_ID,CRT_TIME,UPD_ID,UPD_TIME,ACT_ID,ACT_TIME,VER) VALUES('mail.ssl','FALSE','是否启动ssl','0', 'admin', now(), 'admin', now(), 'admin', now(), 1);</v>
      </c>
    </row>
    <row r="61" spans="2:8">
      <c r="B61" s="13" t="s">
        <v>49</v>
      </c>
      <c r="C61" s="9"/>
      <c r="D61" s="12"/>
      <c r="E61" s="11"/>
      <c r="F61" s="11"/>
      <c r="G61" s="12"/>
    </row>
    <row r="62" spans="2:8">
      <c r="B62" s="11"/>
      <c r="C62" s="12"/>
      <c r="D62" s="12"/>
      <c r="E62" s="11"/>
      <c r="F62" s="11"/>
      <c r="G62" s="12"/>
    </row>
    <row r="63" spans="2:8">
      <c r="B63" s="11"/>
      <c r="C63" s="12"/>
      <c r="D63" s="12"/>
      <c r="E63" s="11"/>
      <c r="F63" s="11"/>
      <c r="G63" s="12"/>
    </row>
    <row r="64" spans="2:8">
      <c r="B64" s="11"/>
      <c r="C64" s="12"/>
      <c r="D64" s="12"/>
      <c r="E64" s="11"/>
      <c r="F64" s="11"/>
      <c r="G64" s="12"/>
    </row>
    <row r="65" spans="2:7">
      <c r="B65" s="11"/>
      <c r="C65" s="12"/>
      <c r="D65" s="12"/>
      <c r="E65" s="11"/>
      <c r="F65" s="11"/>
      <c r="G65" s="12"/>
    </row>
    <row r="66" spans="2:7">
      <c r="B66" s="11"/>
      <c r="C66" s="12"/>
      <c r="D66" s="12"/>
      <c r="E66" s="11"/>
      <c r="F66" s="11"/>
      <c r="G66" s="12"/>
    </row>
  </sheetData>
  <phoneticPr fontId="14" type="noConversion"/>
  <hyperlinks>
    <hyperlink ref="B12" r:id="rId1"/>
    <hyperlink ref="B13" r:id="rId2"/>
    <hyperlink ref="B14" r:id="rId3"/>
    <hyperlink ref="B16" r:id="rId4"/>
    <hyperlink ref="C27" r:id="rId5"/>
    <hyperlink ref="C28" r:id="rId6"/>
    <hyperlink ref="C34" r:id="rId7"/>
  </hyperlinks>
  <pageMargins left="0.69930555555555596" right="0.69930555555555596" top="0.75" bottom="0.75" header="0.3" footer="0.3"/>
  <pageSetup paperSize="9" orientation="portrait"/>
  <legacyDrawing r:id="rId8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B1:H66"/>
  <sheetViews>
    <sheetView zoomScale="85" zoomScaleNormal="85" zoomScalePageLayoutView="85" workbookViewId="0">
      <pane xSplit="1" ySplit="4" topLeftCell="B38" activePane="bottomRight" state="frozen"/>
      <selection pane="topRight" activeCell="B1" sqref="B1"/>
      <selection pane="bottomLeft" activeCell="A5" sqref="A5"/>
      <selection pane="bottomRight" activeCell="C52" sqref="C52:C60"/>
    </sheetView>
  </sheetViews>
  <sheetFormatPr defaultColWidth="9" defaultRowHeight="13.5"/>
  <cols>
    <col min="1" max="1" width="1.875" customWidth="1"/>
    <col min="2" max="2" width="24.125" customWidth="1"/>
    <col min="3" max="3" width="59.625" customWidth="1"/>
    <col min="4" max="4" width="29.625" customWidth="1"/>
    <col min="5" max="5" width="12" customWidth="1"/>
    <col min="6" max="6" width="13.125" customWidth="1"/>
    <col min="7" max="7" width="36" customWidth="1"/>
  </cols>
  <sheetData>
    <row r="1" spans="2:8">
      <c r="B1" s="2" t="s">
        <v>35</v>
      </c>
      <c r="C1" s="3" t="s">
        <v>481</v>
      </c>
      <c r="D1" s="4" t="s">
        <v>7</v>
      </c>
    </row>
    <row r="2" spans="2:8" s="1" customFormat="1" ht="12" customHeight="1">
      <c r="B2" s="5" t="s">
        <v>482</v>
      </c>
      <c r="C2" s="5" t="s">
        <v>483</v>
      </c>
      <c r="D2" s="5" t="s">
        <v>42</v>
      </c>
      <c r="E2" s="5" t="s">
        <v>36</v>
      </c>
      <c r="F2" s="6" t="s">
        <v>62</v>
      </c>
      <c r="G2" s="6" t="s">
        <v>63</v>
      </c>
    </row>
    <row r="3" spans="2:8" s="1" customFormat="1" ht="12" customHeight="1">
      <c r="B3" s="5" t="s">
        <v>484</v>
      </c>
      <c r="C3" s="5" t="s">
        <v>485</v>
      </c>
      <c r="D3" s="5" t="s">
        <v>486</v>
      </c>
      <c r="E3" s="5" t="s">
        <v>37</v>
      </c>
      <c r="F3" s="6"/>
      <c r="G3" s="6"/>
    </row>
    <row r="4" spans="2:8" s="1" customFormat="1" ht="12" customHeight="1">
      <c r="B4" s="7" t="s">
        <v>38</v>
      </c>
      <c r="C4" s="14"/>
      <c r="D4" s="14"/>
      <c r="E4" s="7"/>
      <c r="F4" s="7"/>
      <c r="G4" s="7"/>
      <c r="H4" s="1" t="s">
        <v>487</v>
      </c>
    </row>
    <row r="5" spans="2:8">
      <c r="B5" s="8" t="s">
        <v>488</v>
      </c>
      <c r="C5" s="9" t="s">
        <v>575</v>
      </c>
      <c r="D5" s="9" t="s">
        <v>490</v>
      </c>
      <c r="E5" s="8">
        <v>0</v>
      </c>
      <c r="F5" s="8"/>
      <c r="G5" s="9" t="s">
        <v>491</v>
      </c>
      <c r="H5" t="str">
        <f>"INSERT INTO COMM_CONFIG("&amp;$B$3&amp;","&amp;$C$3&amp;","&amp;$D$3&amp;","&amp;$E$3&amp;",CRT_ID,CRT_TIME,UPD_ID,UPD_TIME,ACT_ID,ACT_TIME,VER) VALUES("&amp;IF(B5="","NULL","'"&amp;B5&amp;"'")&amp;","&amp;IF(C5="","NULL","'"&amp;C5&amp;"'")&amp;","&amp;IF(D5="","NULL","'"&amp;D5&amp;"'")&amp;","&amp;IF(E5="","NULL","'"&amp;E5&amp;"'")&amp;", 'admin', now(), 'admin', now(), 'admin', now(), 1);"</f>
        <v>INSERT INTO COMM_CONFIG(SYSTEM_KEY,SYSTEM_VALUE,SYSTEM_DESC,DEL_FLG,CRT_ID,CRT_TIME,UPD_ID,UPD_TIME,ACT_ID,ACT_TIME,VER) VALUES('sys.env','uat','系统环境区分','0', 'admin', now(), 'admin', now(), 'admin', now(), 1);</v>
      </c>
    </row>
    <row r="6" spans="2:8">
      <c r="B6" s="8" t="s">
        <v>492</v>
      </c>
      <c r="C6" s="9">
        <v>0</v>
      </c>
      <c r="D6" s="9" t="s">
        <v>493</v>
      </c>
      <c r="E6" s="8">
        <v>0</v>
      </c>
      <c r="F6" s="8"/>
      <c r="G6" s="10" t="s">
        <v>494</v>
      </c>
      <c r="H6" t="str">
        <f t="shared" ref="H6:H60" si="0">"INSERT INTO COMM_CONFIG("&amp;$B$3&amp;","&amp;$C$3&amp;","&amp;$D$3&amp;","&amp;$E$3&amp;",CRT_ID,CRT_TIME,UPD_ID,UPD_TIME,ACT_ID,ACT_TIME,VER) VALUES("&amp;IF(B6="","NULL","'"&amp;B6&amp;"'")&amp;","&amp;IF(C6="","NULL","'"&amp;C6&amp;"'")&amp;","&amp;IF(D6="","NULL","'"&amp;D6&amp;"'")&amp;","&amp;IF(E6="","NULL","'"&amp;E6&amp;"'")&amp;", 'admin', now(), 'admin', now(), 'admin', now(), 1);"</f>
        <v>INSERT INTO COMM_CONFIG(SYSTEM_KEY,SYSTEM_VALUE,SYSTEM_DESC,DEL_FLG,CRT_ID,CRT_TIME,UPD_ID,UPD_TIME,ACT_ID,ACT_TIME,VER) VALUES('sys.isDebug','0','调试开关','0', 'admin', now(), 'admin', now(), 'admin', now(), 1);</v>
      </c>
    </row>
    <row r="7" spans="2:8">
      <c r="B7" s="8" t="s">
        <v>495</v>
      </c>
      <c r="C7" s="9">
        <v>0</v>
      </c>
      <c r="D7" s="9" t="s">
        <v>496</v>
      </c>
      <c r="E7" s="8">
        <v>0</v>
      </c>
      <c r="F7" s="8"/>
      <c r="G7" s="9" t="s">
        <v>497</v>
      </c>
      <c r="H7" t="str">
        <f t="shared" si="0"/>
        <v>INSERT INTO COMM_CONFIG(SYSTEM_KEY,SYSTEM_VALUE,SYSTEM_DESC,DEL_FLG,CRT_ID,CRT_TIME,UPD_ID,UPD_TIME,ACT_ID,ACT_TIME,VER) VALUES('sys.needAuthCheck','0','权限控制开关','0', 'admin', now(), 'admin', now(), 'admin', now(), 1);</v>
      </c>
    </row>
    <row r="8" spans="2:8">
      <c r="B8" s="8" t="s">
        <v>498</v>
      </c>
      <c r="C8" s="9" t="s">
        <v>499</v>
      </c>
      <c r="D8" s="9" t="s">
        <v>500</v>
      </c>
      <c r="E8" s="8">
        <v>0</v>
      </c>
      <c r="F8" s="8" t="s">
        <v>501</v>
      </c>
      <c r="G8" s="8"/>
      <c r="H8" t="str">
        <f t="shared" ref="H8" si="1">"INSERT INTO COMM_CONFIG("&amp;$B$3&amp;","&amp;$C$3&amp;","&amp;$D$3&amp;","&amp;$E$3&amp;",CRT_ID,CRT_TIME,UPD_ID,UPD_TIME,ACT_ID,ACT_TIME,VER) VALUES("&amp;IF(B8="","NULL","'"&amp;B8&amp;"'")&amp;","&amp;IF(C8="","NULL","'"&amp;C8&amp;"'")&amp;","&amp;IF(D8="","NULL","'"&amp;D8&amp;"'")&amp;","&amp;IF(E8="","NULL","'"&amp;E8&amp;"'")&amp;", 'admin', now(), 'admin', now(), 'admin', now(), 1);"</f>
        <v>INSERT INTO COMM_CONFIG(SYSTEM_KEY,SYSTEM_VALUE,SYSTEM_DESC,DEL_FLG,CRT_ID,CRT_TIME,UPD_ID,UPD_TIME,ACT_ID,ACT_TIME,VER) VALUES('SMS.URL','http://sms.api.ums86.com:8899/sms/Api/Send.do','短信API地址','0', 'admin', now(), 'admin', now(), 'admin', now(), 1);</v>
      </c>
    </row>
    <row r="9" spans="2:8">
      <c r="B9" s="8" t="s">
        <v>502</v>
      </c>
      <c r="C9" s="9">
        <v>230716</v>
      </c>
      <c r="D9" s="9" t="s">
        <v>503</v>
      </c>
      <c r="E9" s="8">
        <v>0</v>
      </c>
      <c r="F9" s="8" t="s">
        <v>501</v>
      </c>
      <c r="G9" s="8"/>
      <c r="H9" t="str">
        <f t="shared" si="0"/>
        <v>INSERT INTO COMM_CONFIG(SYSTEM_KEY,SYSTEM_VALUE,SYSTEM_DESC,DEL_FLG,CRT_ID,CRT_TIME,UPD_ID,UPD_TIME,ACT_ID,ACT_TIME,VER) VALUES('SMS.SUPPLIER','230716','短信供应商编码','0', 'admin', now(), 'admin', now(), 'admin', now(), 1);</v>
      </c>
    </row>
    <row r="10" spans="2:8">
      <c r="B10" s="11" t="s">
        <v>504</v>
      </c>
      <c r="C10" s="9" t="s">
        <v>336</v>
      </c>
      <c r="D10" s="12" t="s">
        <v>505</v>
      </c>
      <c r="E10" s="8">
        <v>0</v>
      </c>
      <c r="F10" s="8" t="s">
        <v>501</v>
      </c>
      <c r="G10" s="11"/>
      <c r="H10" t="str">
        <f t="shared" si="0"/>
        <v>INSERT INTO COMM_CONFIG(SYSTEM_KEY,SYSTEM_VALUE,SYSTEM_DESC,DEL_FLG,CRT_ID,CRT_TIME,UPD_ID,UPD_TIME,ACT_ID,ACT_TIME,VER) VALUES('SMS.USER','SNK','短信用户','0', 'admin', now(), 'admin', now(), 'admin', now(), 1);</v>
      </c>
    </row>
    <row r="11" spans="2:8">
      <c r="B11" s="11" t="s">
        <v>506</v>
      </c>
      <c r="C11" s="9" t="s">
        <v>507</v>
      </c>
      <c r="D11" s="12" t="s">
        <v>508</v>
      </c>
      <c r="E11" s="8">
        <v>0</v>
      </c>
      <c r="F11" s="8" t="s">
        <v>501</v>
      </c>
      <c r="G11" s="11"/>
      <c r="H11" t="str">
        <f t="shared" si="0"/>
        <v>INSERT INTO COMM_CONFIG(SYSTEM_KEY,SYSTEM_VALUE,SYSTEM_DESC,DEL_FLG,CRT_ID,CRT_TIME,UPD_ID,UPD_TIME,ACT_ID,ACT_TIME,VER) VALUES('SMS.PWD','shennongke123456','短信密码','0', 'admin', now(), 'admin', now(), 'admin', now(), 1);</v>
      </c>
    </row>
    <row r="12" spans="2:8">
      <c r="B12" s="11" t="s">
        <v>509</v>
      </c>
      <c r="C12" s="9" t="s">
        <v>576</v>
      </c>
      <c r="D12" s="12" t="s">
        <v>511</v>
      </c>
      <c r="E12" s="8">
        <v>0</v>
      </c>
      <c r="F12" s="11"/>
      <c r="G12" s="11"/>
      <c r="H12" t="str">
        <f t="shared" si="0"/>
        <v>INSERT INTO COMM_CONFIG(SYSTEM_KEY,SYSTEM_VALUE,SYSTEM_DESC,DEL_FLG,CRT_ID,CRT_TIME,UPD_ID,UPD_TIME,ACT_ID,ACT_TIME,VER) VALUES('ftp.ip','10.47.108.47','FTP IP','0', 'admin', now(), 'admin', now(), 'admin', now(), 1);</v>
      </c>
    </row>
    <row r="13" spans="2:8">
      <c r="B13" s="11" t="s">
        <v>512</v>
      </c>
      <c r="C13" s="9" t="s">
        <v>577</v>
      </c>
      <c r="D13" s="12" t="s">
        <v>514</v>
      </c>
      <c r="E13" s="8">
        <v>0</v>
      </c>
      <c r="F13" s="11"/>
      <c r="G13" s="11"/>
      <c r="H13" t="str">
        <f t="shared" si="0"/>
        <v>INSERT INTO COMM_CONFIG(SYSTEM_KEY,SYSTEM_VALUE,SYSTEM_DESC,DEL_FLG,CRT_ID,CRT_TIME,UPD_ID,UPD_TIME,ACT_ID,ACT_TIME,VER) VALUES('ftp.user','uat_ftp','FTP User','0', 'admin', now(), 'admin', now(), 'admin', now(), 1);</v>
      </c>
    </row>
    <row r="14" spans="2:8">
      <c r="B14" s="11" t="s">
        <v>515</v>
      </c>
      <c r="C14" s="9" t="s">
        <v>578</v>
      </c>
      <c r="D14" s="12" t="s">
        <v>516</v>
      </c>
      <c r="E14" s="8">
        <v>0</v>
      </c>
      <c r="F14" s="11"/>
      <c r="G14" s="11"/>
      <c r="H14" t="str">
        <f t="shared" si="0"/>
        <v>INSERT INTO COMM_CONFIG(SYSTEM_KEY,SYSTEM_VALUE,SYSTEM_DESC,DEL_FLG,CRT_ID,CRT_TIME,UPD_ID,UPD_TIME,ACT_ID,ACT_TIME,VER) VALUES('ftp.pwd','UatFtp123','FTP PWD','0', 'admin', now(), 'admin', now(), 'admin', now(), 1);</v>
      </c>
    </row>
    <row r="15" spans="2:8">
      <c r="B15" s="11" t="s">
        <v>517</v>
      </c>
      <c r="C15" s="9" t="s">
        <v>579</v>
      </c>
      <c r="D15" s="12" t="s">
        <v>519</v>
      </c>
      <c r="E15" s="11">
        <v>0</v>
      </c>
      <c r="F15" s="11"/>
      <c r="G15" s="11"/>
      <c r="H15" t="str">
        <f t="shared" si="0"/>
        <v>INSERT INTO COMM_CONFIG(SYSTEM_KEY,SYSTEM_VALUE,SYSTEM_DESC,DEL_FLG,CRT_ID,CRT_TIME,UPD_ID,UPD_TIME,ACT_ID,ACT_TIME,VER) VALUES('ftp.http.url','http://u-bms.xianchida.com/msk-image','文件服务器http访问url','0', 'admin', now(), 'admin', now(), 'admin', now(), 1);</v>
      </c>
    </row>
    <row r="16" spans="2:8">
      <c r="B16" s="11" t="s">
        <v>520</v>
      </c>
      <c r="C16" s="9" t="s">
        <v>521</v>
      </c>
      <c r="D16" s="12" t="s">
        <v>522</v>
      </c>
      <c r="E16" s="8">
        <v>0</v>
      </c>
      <c r="F16" s="11"/>
      <c r="G16" s="11"/>
      <c r="H16" t="str">
        <f t="shared" si="0"/>
        <v>INSERT INTO COMM_CONFIG(SYSTEM_KEY,SYSTEM_VALUE,SYSTEM_DESC,DEL_FLG,CRT_ID,CRT_TIME,UPD_ID,UPD_TIME,ACT_ID,ACT_TIME,VER) VALUES('ftp.imageRootPath','/msk-image/','FTP 图片根目录','0', 'admin', now(), 'admin', now(), 'admin', now(), 1);</v>
      </c>
    </row>
    <row r="17" spans="2:8">
      <c r="B17" s="11" t="s">
        <v>523</v>
      </c>
      <c r="C17" s="9" t="s">
        <v>580</v>
      </c>
      <c r="D17" s="12" t="s">
        <v>525</v>
      </c>
      <c r="E17" s="8">
        <v>0</v>
      </c>
      <c r="F17" s="11"/>
      <c r="G17" s="11"/>
      <c r="H17" t="str">
        <f t="shared" si="0"/>
        <v>INSERT INTO COMM_CONFIG(SYSTEM_KEY,SYSTEM_VALUE,SYSTEM_DESC,DEL_FLG,CRT_ID,CRT_TIME,UPD_ID,UPD_TIME,ACT_ID,ACT_TIME,VER) VALUES('wms.ftp.ip','10.47.63.18','仓储物流系统FTP地址','0', 'admin', now(), 'admin', now(), 'admin', now(), 1);</v>
      </c>
    </row>
    <row r="18" spans="2:8">
      <c r="B18" s="11" t="s">
        <v>526</v>
      </c>
      <c r="C18" s="9" t="s">
        <v>581</v>
      </c>
      <c r="D18" s="12" t="s">
        <v>528</v>
      </c>
      <c r="E18" s="8">
        <v>0</v>
      </c>
      <c r="F18" s="11"/>
      <c r="G18" s="11"/>
      <c r="H18" t="str">
        <f t="shared" si="0"/>
        <v>INSERT INTO COMM_CONFIG(SYSTEM_KEY,SYSTEM_VALUE,SYSTEM_DESC,DEL_FLG,CRT_ID,CRT_TIME,UPD_ID,UPD_TIME,ACT_ID,ACT_TIME,VER) VALUES('wms.ftp.user','FUJI','仓储物流系统FTP用户','0', 'admin', now(), 'admin', now(), 'admin', now(), 1);</v>
      </c>
    </row>
    <row r="19" spans="2:8">
      <c r="B19" s="11" t="s">
        <v>529</v>
      </c>
      <c r="C19" s="9" t="s">
        <v>582</v>
      </c>
      <c r="D19" s="12" t="s">
        <v>531</v>
      </c>
      <c r="E19" s="8">
        <v>0</v>
      </c>
      <c r="F19" s="11"/>
      <c r="G19" s="11"/>
      <c r="H19" t="str">
        <f t="shared" si="0"/>
        <v>INSERT INTO COMM_CONFIG(SYSTEM_KEY,SYSTEM_VALUE,SYSTEM_DESC,DEL_FLG,CRT_ID,CRT_TIME,UPD_ID,UPD_TIME,ACT_ID,ACT_TIME,VER) VALUES('wms.ftp.pwd','m4n123','仓储物流系统FTP密码','0', 'admin', now(), 'admin', now(), 'admin', now(), 1);</v>
      </c>
    </row>
    <row r="20" spans="2:8">
      <c r="B20" s="11" t="s">
        <v>532</v>
      </c>
      <c r="C20" s="9">
        <v>2</v>
      </c>
      <c r="D20" s="12" t="s">
        <v>533</v>
      </c>
      <c r="E20" s="8">
        <v>0</v>
      </c>
      <c r="F20" s="11"/>
      <c r="G20" s="11"/>
      <c r="H20" t="str">
        <f t="shared" si="0"/>
        <v>INSERT INTO COMM_CONFIG(SYSTEM_KEY,SYSTEM_VALUE,SYSTEM_DESC,DEL_FLG,CRT_ID,CRT_TIME,UPD_ID,UPD_TIME,ACT_ID,ACT_TIME,VER) VALUES('supplier_dept_id','2','供应商的部门ID固定值设定','0', 'admin', now(), 'admin', now(), 'admin', now(), 1);</v>
      </c>
    </row>
    <row r="21" spans="2:8">
      <c r="B21" s="11" t="s">
        <v>534</v>
      </c>
      <c r="C21" s="9">
        <v>7</v>
      </c>
      <c r="D21" s="12" t="s">
        <v>535</v>
      </c>
      <c r="E21" s="8">
        <v>0</v>
      </c>
      <c r="F21" s="11"/>
      <c r="G21" s="11"/>
      <c r="H21" t="str">
        <f t="shared" si="0"/>
        <v>INSERT INTO COMM_CONFIG(SYSTEM_KEY,SYSTEM_VALUE,SYSTEM_DESC,DEL_FLG,CRT_ID,CRT_TIME,UPD_ID,UPD_TIME,ACT_ID,ACT_TIME,VER) VALUES('supplier_role_id','7','供应商的角色ID固定值设定','0', 'admin', now(), 'admin', now(), 'admin', now(), 1);</v>
      </c>
    </row>
    <row r="22" spans="2:8">
      <c r="B22" s="46" t="s">
        <v>536</v>
      </c>
      <c r="C22" s="47" t="s">
        <v>583</v>
      </c>
      <c r="D22" s="48" t="s">
        <v>538</v>
      </c>
      <c r="E22" s="46">
        <v>0</v>
      </c>
      <c r="F22" s="46"/>
      <c r="G22" s="46"/>
    </row>
    <row r="23" spans="2:8">
      <c r="B23" s="46" t="s">
        <v>539</v>
      </c>
      <c r="C23" s="47" t="s">
        <v>584</v>
      </c>
      <c r="D23" s="48" t="s">
        <v>538</v>
      </c>
      <c r="E23" s="46">
        <v>0</v>
      </c>
      <c r="F23" s="46"/>
      <c r="G23" s="46"/>
    </row>
    <row r="24" spans="2:8">
      <c r="B24" s="46" t="s">
        <v>541</v>
      </c>
      <c r="C24" s="47" t="s">
        <v>585</v>
      </c>
      <c r="D24" s="48" t="s">
        <v>543</v>
      </c>
      <c r="E24" s="46">
        <v>0</v>
      </c>
      <c r="F24" s="46"/>
      <c r="G24" s="46"/>
    </row>
    <row r="25" spans="2:8">
      <c r="B25" s="11" t="s">
        <v>544</v>
      </c>
      <c r="C25" s="50" t="s">
        <v>586</v>
      </c>
      <c r="D25" s="12" t="s">
        <v>546</v>
      </c>
      <c r="E25" s="11">
        <v>0</v>
      </c>
      <c r="F25" s="11"/>
      <c r="G25" s="11"/>
      <c r="H25" t="str">
        <f t="shared" si="0"/>
        <v>INSERT INTO COMM_CONFIG(SYSTEM_KEY,SYSTEM_VALUE,SYSTEM_DESC,DEL_FLG,CRT_ID,CRT_TIME,UPD_ID,UPD_TIME,ACT_ID,ACT_TIME,VER) VALUES('file.server.upload','http://u-file.xianchida.com/_upload','文件上传','0', 'admin', now(), 'admin', now(), 'admin', now(), 1);</v>
      </c>
    </row>
    <row r="26" spans="2:8">
      <c r="B26" s="11" t="s">
        <v>547</v>
      </c>
      <c r="C26" s="50" t="s">
        <v>587</v>
      </c>
      <c r="D26" s="12" t="s">
        <v>549</v>
      </c>
      <c r="E26" s="11">
        <v>0</v>
      </c>
      <c r="F26" s="11"/>
      <c r="G26" s="11"/>
      <c r="H26" t="str">
        <f t="shared" si="0"/>
        <v>INSERT INTO COMM_CONFIG(SYSTEM_KEY,SYSTEM_VALUE,SYSTEM_DESC,DEL_FLG,CRT_ID,CRT_TIME,UPD_ID,UPD_TIME,ACT_ID,ACT_TIME,VER) VALUES('file.server','http://u-file.xianchida.com/_download','获得文件','0', 'admin', now(), 'admin', now(), 'admin', now(), 1);</v>
      </c>
    </row>
    <row r="27" spans="2:8">
      <c r="B27" s="82" t="s">
        <v>1375</v>
      </c>
      <c r="C27" s="84" t="s">
        <v>1389</v>
      </c>
      <c r="D27" s="83" t="s">
        <v>1386</v>
      </c>
      <c r="E27" s="82">
        <v>0</v>
      </c>
      <c r="F27" s="82"/>
      <c r="G27" s="82"/>
      <c r="H27" t="str">
        <f t="shared" si="0"/>
        <v>INSERT INTO COMM_CONFIG(SYSTEM_KEY,SYSTEM_VALUE,SYSTEM_DESC,DEL_FLG,CRT_ID,CRT_TIME,UPD_ID,UPD_TIME,ACT_ID,ACT_TIME,VER) VALUES('file.server.upload.inside','http://10.45.21.248/_upload','文件上传(内网地址)','0', 'admin', now(), 'admin', now(), 'admin', now(), 1);</v>
      </c>
    </row>
    <row r="28" spans="2:8">
      <c r="B28" s="82" t="s">
        <v>1376</v>
      </c>
      <c r="C28" s="84" t="s">
        <v>1390</v>
      </c>
      <c r="D28" s="83" t="s">
        <v>1387</v>
      </c>
      <c r="E28" s="82">
        <v>0</v>
      </c>
      <c r="F28" s="82"/>
      <c r="G28" s="82"/>
      <c r="H28" t="str">
        <f t="shared" si="0"/>
        <v>INSERT INTO COMM_CONFIG(SYSTEM_KEY,SYSTEM_VALUE,SYSTEM_DESC,DEL_FLG,CRT_ID,CRT_TIME,UPD_ID,UPD_TIME,ACT_ID,ACT_TIME,VER) VALUES('file.server.download.inside','http://10.45.21.248/_download','获得文件(内网地址)','0', 'admin', now(), 'admin', now(), 'admin', now(), 1);</v>
      </c>
    </row>
    <row r="29" spans="2:8">
      <c r="B29" s="56" t="s">
        <v>550</v>
      </c>
      <c r="C29" s="57" t="s">
        <v>806</v>
      </c>
      <c r="D29" s="58" t="s">
        <v>552</v>
      </c>
      <c r="E29" s="59">
        <v>0</v>
      </c>
      <c r="F29" s="59" t="s">
        <v>553</v>
      </c>
      <c r="G29" s="58" t="s">
        <v>554</v>
      </c>
      <c r="H29" t="str">
        <f t="shared" si="0"/>
        <v>INSERT INTO COMM_CONFIG(SYSTEM_KEY,SYSTEM_VALUE,SYSTEM_DESC,DEL_FLG,CRT_ID,CRT_TIME,UPD_ID,UPD_TIME,ACT_ID,ACT_TIME,VER) VALUES('sso.url.outside','http://u-bms.xianchida.com/msk-sso-server','SSO站点外网地址','0', 'admin', now(), 'admin', now(), 'admin', now(), 1);</v>
      </c>
    </row>
    <row r="30" spans="2:8">
      <c r="B30" s="59" t="s">
        <v>555</v>
      </c>
      <c r="C30" s="57" t="s">
        <v>806</v>
      </c>
      <c r="D30" s="58" t="s">
        <v>556</v>
      </c>
      <c r="E30" s="59">
        <v>0</v>
      </c>
      <c r="F30" s="59" t="s">
        <v>553</v>
      </c>
      <c r="G30" s="58" t="s">
        <v>588</v>
      </c>
      <c r="H30" t="str">
        <f t="shared" si="0"/>
        <v>INSERT INTO COMM_CONFIG(SYSTEM_KEY,SYSTEM_VALUE,SYSTEM_DESC,DEL_FLG,CRT_ID,CRT_TIME,UPD_ID,UPD_TIME,ACT_ID,ACT_TIME,VER) VALUES('sso.url.inside','http://u-bms.xianchida.com/msk-sso-server','SSO站点内网地址','0', 'admin', now(), 'admin', now(), 'admin', now(), 1);</v>
      </c>
    </row>
    <row r="31" spans="2:8">
      <c r="B31" s="59" t="s">
        <v>558</v>
      </c>
      <c r="C31" s="57" t="s">
        <v>589</v>
      </c>
      <c r="D31" s="58" t="s">
        <v>559</v>
      </c>
      <c r="E31" s="59">
        <v>0</v>
      </c>
      <c r="F31" s="59" t="s">
        <v>560</v>
      </c>
      <c r="G31" s="59"/>
      <c r="H31" t="str">
        <f t="shared" si="0"/>
        <v>INSERT INTO COMM_CONFIG(SYSTEM_KEY,SYSTEM_VALUE,SYSTEM_DESC,DEL_FLG,CRT_ID,CRT_TIME,UPD_ID,UPD_TIME,ACT_ID,ACT_TIME,VER) VALUES('http.proxyHost','10.45.21.248','HTTP正向代理主机IP（没有代理时不要设）','0', 'admin', now(), 'admin', now(), 'admin', now(), 1);</v>
      </c>
    </row>
    <row r="32" spans="2:8">
      <c r="B32" s="59" t="s">
        <v>561</v>
      </c>
      <c r="C32" s="57">
        <v>8081</v>
      </c>
      <c r="D32" s="58" t="s">
        <v>562</v>
      </c>
      <c r="E32" s="59">
        <v>0</v>
      </c>
      <c r="F32" s="59" t="s">
        <v>560</v>
      </c>
      <c r="G32" s="59"/>
      <c r="H32" t="str">
        <f t="shared" si="0"/>
        <v>INSERT INTO COMM_CONFIG(SYSTEM_KEY,SYSTEM_VALUE,SYSTEM_DESC,DEL_FLG,CRT_ID,CRT_TIME,UPD_ID,UPD_TIME,ACT_ID,ACT_TIME,VER) VALUES('http.proxyPort','8081','HTTP正向代理主机端口（没有代理时不要设）','0', 'admin', now(), 'admin', now(), 'admin', now(), 1);</v>
      </c>
    </row>
    <row r="33" spans="2:8">
      <c r="B33" s="59" t="s">
        <v>563</v>
      </c>
      <c r="C33" s="57" t="s">
        <v>807</v>
      </c>
      <c r="D33" s="58" t="s">
        <v>564</v>
      </c>
      <c r="E33" s="59">
        <v>0</v>
      </c>
      <c r="F33" s="59"/>
      <c r="G33" s="58" t="s">
        <v>554</v>
      </c>
      <c r="H33" t="str">
        <f t="shared" si="0"/>
        <v>INSERT INTO COMM_CONFIG(SYSTEM_KEY,SYSTEM_VALUE,SYSTEM_DESC,DEL_FLG,CRT_ID,CRT_TIME,UPD_ID,UPD_TIME,ACT_ID,ACT_TIME,VER) VALUES('web.server.url','http://u-bms.xianchida.com/msk-web','后台系统站点地址','0', 'admin', now(), 'admin', now(), 'admin', now(), 1);</v>
      </c>
    </row>
    <row r="34" spans="2:8">
      <c r="B34" s="59" t="s">
        <v>565</v>
      </c>
      <c r="C34" s="85" t="s">
        <v>1388</v>
      </c>
      <c r="D34" s="58" t="s">
        <v>566</v>
      </c>
      <c r="E34" s="59">
        <v>0</v>
      </c>
      <c r="F34" s="59" t="s">
        <v>567</v>
      </c>
      <c r="G34" s="58" t="s">
        <v>557</v>
      </c>
      <c r="H34" t="str">
        <f t="shared" si="0"/>
        <v>INSERT INTO COMM_CONFIG(SYSTEM_KEY,SYSTEM_VALUE,SYSTEM_DESC,DEL_FLG,CRT_ID,CRT_TIME,UPD_ID,UPD_TIME,ACT_ID,ACT_TIME,VER) VALUES('api.url.inside','http://10.45.21.248/msk-web','后台系统内部接口内网地址','0', 'admin', now(), 'admin', now(), 'admin', now(), 1);</v>
      </c>
    </row>
    <row r="35" spans="2:8">
      <c r="B35" s="59" t="s">
        <v>808</v>
      </c>
      <c r="C35" s="57" t="s">
        <v>809</v>
      </c>
      <c r="D35" s="58" t="s">
        <v>810</v>
      </c>
      <c r="E35" s="59">
        <v>0</v>
      </c>
      <c r="F35" s="59"/>
      <c r="G35" s="58"/>
      <c r="H35" t="str">
        <f t="shared" si="0"/>
        <v>INSERT INTO COMM_CONFIG(SYSTEM_KEY,SYSTEM_VALUE,SYSTEM_DESC,DEL_FLG,CRT_ID,CRT_TIME,UPD_ID,UPD_TIME,ACT_ID,ACT_TIME,VER) VALUES('api.url.searchPrice','http://10.45.21.248/msk-snk-price/api/sp/getPriceBox','查询箱价接口地址','0', 'admin', now(), 'admin', now(), 'admin', now(), 1);</v>
      </c>
    </row>
    <row r="36" spans="2:8">
      <c r="B36" s="59" t="s">
        <v>811</v>
      </c>
      <c r="C36" s="57" t="s">
        <v>705</v>
      </c>
      <c r="D36" s="58" t="s">
        <v>642</v>
      </c>
      <c r="E36" s="59">
        <v>0</v>
      </c>
      <c r="F36" s="59"/>
      <c r="G36" s="58" t="s">
        <v>779</v>
      </c>
      <c r="H36" t="str">
        <f t="shared" si="0"/>
        <v>INSERT INTO COMM_CONFIG(SYSTEM_KEY,SYSTEM_VALUE,SYSTEM_DESC,DEL_FLG,CRT_ID,CRT_TIME,UPD_ID,UPD_TIME,ACT_ID,ACT_TIME,VER) VALUES('api.url.searchPrintOrder','http://10.45.21.248/msk-web/api/v1/so/detail/print','查询打印订单详细信息接口地址','0', 'admin', now(), 'admin', now(), 'admin', now(), 1);</v>
      </c>
    </row>
    <row r="37" spans="2:8">
      <c r="B37" s="59" t="s">
        <v>812</v>
      </c>
      <c r="C37" s="57" t="s">
        <v>649</v>
      </c>
      <c r="D37" s="58" t="s">
        <v>643</v>
      </c>
      <c r="E37" s="59">
        <v>0</v>
      </c>
      <c r="F37" s="59"/>
      <c r="G37" s="58" t="s">
        <v>646</v>
      </c>
      <c r="H37" t="str">
        <f t="shared" si="0"/>
        <v>INSERT INTO COMM_CONFIG(SYSTEM_KEY,SYSTEM_VALUE,SYSTEM_DESC,DEL_FLG,CRT_ID,CRT_TIME,UPD_ID,UPD_TIME,ACT_ID,ACT_TIME,VER) VALUES('api.url.printOrder','http://u-bms.xianchida.com/msk-print/print/pdf/order/PDF000001','打印订单详细信息接口地址','0', 'admin', now(), 'admin', now(), 'admin', now(), 1);</v>
      </c>
    </row>
    <row r="38" spans="2:8">
      <c r="B38" s="59" t="s">
        <v>813</v>
      </c>
      <c r="C38" s="57" t="s">
        <v>707</v>
      </c>
      <c r="D38" s="58" t="s">
        <v>814</v>
      </c>
      <c r="E38" s="59">
        <v>0</v>
      </c>
      <c r="F38" s="59" t="s">
        <v>815</v>
      </c>
      <c r="G38" s="58" t="s">
        <v>816</v>
      </c>
      <c r="H38" t="str">
        <f t="shared" si="0"/>
        <v>INSERT INTO COMM_CONFIG(SYSTEM_KEY,SYSTEM_VALUE,SYSTEM_DESC,DEL_FLG,CRT_ID,CRT_TIME,UPD_ID,UPD_TIME,ACT_ID,ACT_TIME,VER) VALUES('temp.file.localpath','/xcdhome/temp','临时文件目录','0', 'admin', now(), 'admin', now(), 'admin', now(), 1);</v>
      </c>
    </row>
    <row r="39" spans="2:8">
      <c r="B39" s="59" t="s">
        <v>817</v>
      </c>
      <c r="C39" s="57" t="s">
        <v>777</v>
      </c>
      <c r="D39" s="58" t="s">
        <v>766</v>
      </c>
      <c r="E39" s="59">
        <v>0</v>
      </c>
      <c r="F39" s="59" t="s">
        <v>818</v>
      </c>
      <c r="G39" s="58" t="s">
        <v>819</v>
      </c>
      <c r="H39" t="str">
        <f t="shared" si="0"/>
        <v>INSERT INTO COMM_CONFIG(SYSTEM_KEY,SYSTEM_VALUE,SYSTEM_DESC,DEL_FLG,CRT_ID,CRT_TIME,UPD_ID,UPD_TIME,ACT_ID,ACT_TIME,VER) VALUES('api.url.sellerCharging','http://10.45.21.248/msk-so-cp/api/cp/sellerCharging','卖家计费项接口地址','0', 'admin', now(), 'admin', now(), 'admin', now(), 1);</v>
      </c>
    </row>
    <row r="40" spans="2:8">
      <c r="B40" s="59" t="s">
        <v>820</v>
      </c>
      <c r="C40" s="57" t="s">
        <v>770</v>
      </c>
      <c r="D40" s="58" t="s">
        <v>767</v>
      </c>
      <c r="E40" s="59">
        <v>0</v>
      </c>
      <c r="F40" s="59" t="s">
        <v>818</v>
      </c>
      <c r="G40" s="58" t="s">
        <v>819</v>
      </c>
      <c r="H40" t="str">
        <f t="shared" si="0"/>
        <v>INSERT INTO COMM_CONFIG(SYSTEM_KEY,SYSTEM_VALUE,SYSTEM_DESC,DEL_FLG,CRT_ID,CRT_TIME,UPD_ID,UPD_TIME,ACT_ID,ACT_TIME,VER) VALUES('api.url.transaction','http://10.45.21.248/msk-so-cp/api/cp/transaction','交易明细接口地址','0', 'admin', now(), 'admin', now(), 'admin', now(), 1);</v>
      </c>
    </row>
    <row r="41" spans="2:8">
      <c r="B41" s="59" t="s">
        <v>821</v>
      </c>
      <c r="C41" s="57" t="s">
        <v>822</v>
      </c>
      <c r="D41" s="58" t="s">
        <v>823</v>
      </c>
      <c r="E41" s="59">
        <v>0</v>
      </c>
      <c r="F41" s="59" t="s">
        <v>824</v>
      </c>
      <c r="G41" s="58" t="s">
        <v>825</v>
      </c>
      <c r="H41" t="str">
        <f t="shared" si="0"/>
        <v>INSERT INTO COMM_CONFIG(SYSTEM_KEY,SYSTEM_VALUE,SYSTEM_DESC,DEL_FLG,CRT_ID,CRT_TIME,UPD_ID,UPD_TIME,ACT_ID,ACT_TIME,VER) VALUES('seller.server','http://10.45.21.248/msk-seller','卖家系统地址','0', 'admin', now(), 'admin', now(), 'admin', now(), 1);</v>
      </c>
    </row>
    <row r="42" spans="2:8">
      <c r="B42" s="59" t="s">
        <v>778</v>
      </c>
      <c r="C42" s="57" t="s">
        <v>863</v>
      </c>
      <c r="D42" s="58" t="s">
        <v>826</v>
      </c>
      <c r="E42" s="59">
        <v>0</v>
      </c>
      <c r="F42" s="59" t="s">
        <v>827</v>
      </c>
      <c r="G42" s="58" t="s">
        <v>826</v>
      </c>
      <c r="H42" t="str">
        <f t="shared" si="0"/>
        <v>INSERT INTO COMM_CONFIG(SYSTEM_KEY,SYSTEM_VALUE,SYSTEM_DESC,DEL_FLG,CRT_ID,CRT_TIME,UPD_ID,UPD_TIME,ACT_ID,ACT_TIME,VER) VALUES('org.server','http://10.45.21.248/msk-org','org-server地址','0', 'admin', now(), 'admin', now(), 'admin', now(), 1);</v>
      </c>
    </row>
    <row r="43" spans="2:8">
      <c r="B43" s="49" t="s">
        <v>851</v>
      </c>
      <c r="C43" s="50" t="s">
        <v>856</v>
      </c>
      <c r="D43" s="51" t="s">
        <v>853</v>
      </c>
      <c r="E43" s="49">
        <v>0</v>
      </c>
      <c r="F43" s="49" t="s">
        <v>854</v>
      </c>
      <c r="G43" s="51" t="s">
        <v>853</v>
      </c>
      <c r="H43" t="str">
        <f t="shared" si="0"/>
        <v>INSERT INTO COMM_CONFIG(SYSTEM_KEY,SYSTEM_VALUE,SYSTEM_DESC,DEL_FLG,CRT_ID,CRT_TIME,UPD_ID,UPD_TIME,ACT_ID,ACT_TIME,VER) VALUES('api.url.printDs','http://u-bms.xianchida.com/msk-print/print/pdf/ds/','打印发货入库单详细信息接口地址','0', 'admin', now(), 'admin', now(), 'admin', now(), 1);</v>
      </c>
    </row>
    <row r="44" spans="2:8">
      <c r="B44" s="49" t="s">
        <v>858</v>
      </c>
      <c r="C44" s="50" t="s">
        <v>864</v>
      </c>
      <c r="D44" s="51" t="s">
        <v>860</v>
      </c>
      <c r="E44" s="49">
        <v>0</v>
      </c>
      <c r="F44" s="49" t="s">
        <v>854</v>
      </c>
      <c r="G44" s="51" t="s">
        <v>860</v>
      </c>
      <c r="H44" t="str">
        <f t="shared" si="0"/>
        <v>INSERT INTO COMM_CONFIG(SYSTEM_KEY,SYSTEM_VALUE,SYSTEM_DESC,DEL_FLG,CRT_ID,CRT_TIME,UPD_ID,UPD_TIME,ACT_ID,ACT_TIME,VER) VALUES('api.url.searchPrintDelivery','http://10.45.21.248/msk-web/api/v1/deliveryDetail/pdf/print','查询打印发货入库单详细信息接口地址','0', 'admin', now(), 'admin', now(), 'admin', now(), 1);</v>
      </c>
    </row>
    <row r="45" spans="2:8">
      <c r="B45" s="49" t="s">
        <v>869</v>
      </c>
      <c r="C45" s="50" t="s">
        <v>880</v>
      </c>
      <c r="D45" s="51" t="s">
        <v>874</v>
      </c>
      <c r="E45" s="49">
        <v>0</v>
      </c>
      <c r="F45" s="49" t="s">
        <v>877</v>
      </c>
      <c r="G45" s="51" t="s">
        <v>873</v>
      </c>
      <c r="H45" t="str">
        <f t="shared" si="0"/>
        <v>INSERT INTO COMM_CONFIG(SYSTEM_KEY,SYSTEM_VALUE,SYSTEM_DESC,DEL_FLG,CRT_ID,CRT_TIME,UPD_ID,UPD_TIME,ACT_ID,ACT_TIME,VER) VALUES('api.url.getBuyerCode','http://10.45.21.248/msk-buyers/api/by/buyerCodeWithRingCode/query','查询(环标码)买家编码接口','0', 'admin', now(), 'admin', now(), 'admin', now(), 1);</v>
      </c>
    </row>
    <row r="46" spans="2:8">
      <c r="B46" s="49" t="s">
        <v>870</v>
      </c>
      <c r="C46" s="50" t="s">
        <v>881</v>
      </c>
      <c r="D46" s="51" t="s">
        <v>876</v>
      </c>
      <c r="E46" s="49">
        <v>0</v>
      </c>
      <c r="F46" s="49" t="s">
        <v>877</v>
      </c>
      <c r="G46" s="51" t="s">
        <v>875</v>
      </c>
      <c r="H46" t="str">
        <f t="shared" si="0"/>
        <v>INSERT INTO COMM_CONFIG(SYSTEM_KEY,SYSTEM_VALUE,SYSTEM_DESC,DEL_FLG,CRT_ID,CRT_TIME,UPD_ID,UPD_TIME,ACT_ID,ACT_TIME,VER) VALUES('api.url.getBuyerId','http://10.45.21.248/msk-buyers/api/by/buyerId/queryByBuyerCode','通过买家编码查询买家ID','0', 'admin', now(), 'admin', now(), 'admin', now(), 1);</v>
      </c>
    </row>
    <row r="47" spans="2:8">
      <c r="B47" s="49" t="s">
        <v>899</v>
      </c>
      <c r="C47" s="50" t="s">
        <v>903</v>
      </c>
      <c r="D47" s="51" t="s">
        <v>900</v>
      </c>
      <c r="E47" s="49">
        <v>0</v>
      </c>
      <c r="F47" s="49" t="s">
        <v>710</v>
      </c>
      <c r="G47" s="51" t="s">
        <v>901</v>
      </c>
      <c r="H47" t="str">
        <f t="shared" si="0"/>
        <v>INSERT INTO COMM_CONFIG(SYSTEM_KEY,SYSTEM_VALUE,SYSTEM_DESC,DEL_FLG,CRT_ID,CRT_TIME,UPD_ID,UPD_TIME,ACT_ID,ACT_TIME,VER) VALUES('favorites.url','http://10.45.21.248/msk-favorites','收藏夹地址','0', 'admin', now(), 'admin', now(), 'admin', now(), 1);</v>
      </c>
    </row>
    <row r="48" spans="2:8">
      <c r="B48" s="49" t="s">
        <v>906</v>
      </c>
      <c r="C48" s="63" t="s">
        <v>910</v>
      </c>
      <c r="D48" s="51" t="s">
        <v>907</v>
      </c>
      <c r="E48" s="49">
        <v>0</v>
      </c>
      <c r="F48" s="49" t="s">
        <v>710</v>
      </c>
      <c r="G48" s="51" t="s">
        <v>914</v>
      </c>
      <c r="H48" t="str">
        <f t="shared" si="0"/>
        <v>INSERT INTO COMM_CONFIG(SYSTEM_KEY,SYSTEM_VALUE,SYSTEM_DESC,DEL_FLG,CRT_ID,CRT_TIME,UPD_ID,UPD_TIME,ACT_ID,ACT_TIME,VER) VALUES('isCheckPasswordTimeSeries.flag','false','密码是否会过期开关','0', 'admin', now(), 'admin', now(), 'admin', now(), 1);</v>
      </c>
    </row>
    <row r="49" spans="2:8">
      <c r="B49" s="49" t="s">
        <v>908</v>
      </c>
      <c r="C49" s="63" t="s">
        <v>910</v>
      </c>
      <c r="D49" s="51" t="s">
        <v>912</v>
      </c>
      <c r="E49" s="49">
        <v>0</v>
      </c>
      <c r="F49" s="49" t="s">
        <v>710</v>
      </c>
      <c r="G49" s="51" t="s">
        <v>914</v>
      </c>
      <c r="H49" t="str">
        <f t="shared" si="0"/>
        <v>INSERT INTO COMM_CONFIG(SYSTEM_KEY,SYSTEM_VALUE,SYSTEM_DESC,DEL_FLG,CRT_ID,CRT_TIME,UPD_ID,UPD_TIME,ACT_ID,ACT_TIME,VER) VALUES('isForceModifyPassword.flag','false','是否强制修改密码','0', 'admin', now(), 'admin', now(), 'admin', now(), 1);</v>
      </c>
    </row>
    <row r="50" spans="2:8">
      <c r="B50" s="49" t="s">
        <v>909</v>
      </c>
      <c r="C50" s="63" t="s">
        <v>911</v>
      </c>
      <c r="D50" s="51" t="s">
        <v>913</v>
      </c>
      <c r="E50" s="49">
        <v>0</v>
      </c>
      <c r="F50" s="49" t="s">
        <v>710</v>
      </c>
      <c r="G50" s="51" t="s">
        <v>914</v>
      </c>
      <c r="H50" t="str">
        <f t="shared" si="0"/>
        <v>INSERT INTO COMM_CONFIG(SYSTEM_KEY,SYSTEM_VALUE,SYSTEM_DESC,DEL_FLG,CRT_ID,CRT_TIME,UPD_ID,UPD_TIME,ACT_ID,ACT_TIME,VER) VALUES('isInitPassword.flag','true','是否初始化密码开关','0', 'admin', now(), 'admin', now(), 'admin', now(), 1);</v>
      </c>
    </row>
    <row r="51" spans="2:8">
      <c r="B51" s="49" t="s">
        <v>938</v>
      </c>
      <c r="C51" s="50" t="s">
        <v>944</v>
      </c>
      <c r="D51" s="51" t="s">
        <v>940</v>
      </c>
      <c r="E51" s="49">
        <v>0</v>
      </c>
      <c r="F51" s="49" t="s">
        <v>942</v>
      </c>
      <c r="G51" s="51" t="s">
        <v>940</v>
      </c>
      <c r="H51" t="str">
        <f t="shared" si="0"/>
        <v>INSERT INTO COMM_CONFIG(SYSTEM_KEY,SYSTEM_VALUE,SYSTEM_DESC,DEL_FLG,CRT_ID,CRT_TIME,UPD_ID,UPD_TIME,ACT_ID,ACT_TIME,VER) VALUES('api.url.getPriceWay','http://10.45.21.248/msk-snk-price/api/pd/getPriceWayList','获得价盘通道信息接口','0', 'admin', now(), 'admin', now(), 'admin', now(), 1);</v>
      </c>
    </row>
    <row r="52" spans="2:8">
      <c r="B52" s="82" t="s">
        <v>1440</v>
      </c>
      <c r="C52" s="87" t="s">
        <v>1468</v>
      </c>
      <c r="D52" s="83" t="s">
        <v>1442</v>
      </c>
      <c r="E52" s="82">
        <v>0</v>
      </c>
      <c r="F52" s="82" t="s">
        <v>1443</v>
      </c>
      <c r="G52" s="83" t="s">
        <v>1444</v>
      </c>
      <c r="H52" t="str">
        <f t="shared" si="0"/>
        <v>INSERT INTO COMM_CONFIG(SYSTEM_KEY,SYSTEM_VALUE,SYSTEM_DESC,DEL_FLG,CRT_ID,CRT_TIME,UPD_ID,UPD_TIME,ACT_ID,ACT_TIME,VER) VALUES('mail.from','root@xianchida.com','邮件发送人','0', 'admin', now(), 'admin', now(), 'admin', now(), 1);</v>
      </c>
    </row>
    <row r="53" spans="2:8">
      <c r="B53" s="82" t="s">
        <v>1445</v>
      </c>
      <c r="C53" s="87" t="s">
        <v>1466</v>
      </c>
      <c r="D53" s="83" t="s">
        <v>1447</v>
      </c>
      <c r="E53" s="82">
        <v>0</v>
      </c>
      <c r="F53" s="82" t="s">
        <v>1443</v>
      </c>
      <c r="G53" s="83" t="s">
        <v>1444</v>
      </c>
      <c r="H53" t="str">
        <f t="shared" si="0"/>
        <v>INSERT INTO COMM_CONFIG(SYSTEM_KEY,SYSTEM_VALUE,SYSTEM_DESC,DEL_FLG,CRT_ID,CRT_TIME,UPD_ID,UPD_TIME,ACT_ID,ACT_TIME,VER) VALUES('mail.host','10.45.21.248','邮箱服务器','0', 'admin', now(), 'admin', now(), 'admin', now(), 1);</v>
      </c>
    </row>
    <row r="54" spans="2:8">
      <c r="B54" s="82" t="s">
        <v>1459</v>
      </c>
      <c r="C54" s="87" t="s">
        <v>1469</v>
      </c>
      <c r="D54" s="83" t="s">
        <v>1461</v>
      </c>
      <c r="E54" s="82">
        <v>0</v>
      </c>
      <c r="F54" s="82" t="s">
        <v>1443</v>
      </c>
      <c r="G54" s="83" t="s">
        <v>1444</v>
      </c>
      <c r="H54" t="str">
        <f t="shared" si="0"/>
        <v>INSERT INTO COMM_CONFIG(SYSTEM_KEY,SYSTEM_VALUE,SYSTEM_DESC,DEL_FLG,CRT_ID,CRT_TIME,UPD_ID,UPD_TIME,ACT_ID,ACT_TIME,VER) VALUES('mail.username','root@xianchida.com','邮箱登录名','0', 'admin', now(), 'admin', now(), 'admin', now(), 1);</v>
      </c>
    </row>
    <row r="55" spans="2:8">
      <c r="B55" s="82" t="s">
        <v>1448</v>
      </c>
      <c r="C55" s="87">
        <v>123456</v>
      </c>
      <c r="D55" s="83" t="s">
        <v>1450</v>
      </c>
      <c r="E55" s="82">
        <v>0</v>
      </c>
      <c r="F55" s="82" t="s">
        <v>1443</v>
      </c>
      <c r="G55" s="83" t="s">
        <v>1444</v>
      </c>
      <c r="H55" t="str">
        <f t="shared" si="0"/>
        <v>INSERT INTO COMM_CONFIG(SYSTEM_KEY,SYSTEM_VALUE,SYSTEM_DESC,DEL_FLG,CRT_ID,CRT_TIME,UPD_ID,UPD_TIME,ACT_ID,ACT_TIME,VER) VALUES('mail.password','123456','邮箱登录名的密码','0', 'admin', now(), 'admin', now(), 'admin', now(), 1);</v>
      </c>
    </row>
    <row r="56" spans="2:8">
      <c r="B56" s="82" t="s">
        <v>1451</v>
      </c>
      <c r="C56" s="87">
        <v>25</v>
      </c>
      <c r="D56" s="83" t="s">
        <v>1452</v>
      </c>
      <c r="E56" s="82">
        <v>0</v>
      </c>
      <c r="F56" s="82" t="s">
        <v>1443</v>
      </c>
      <c r="G56" s="83" t="s">
        <v>1444</v>
      </c>
      <c r="H56" t="str">
        <f t="shared" si="0"/>
        <v>INSERT INTO COMM_CONFIG(SYSTEM_KEY,SYSTEM_VALUE,SYSTEM_DESC,DEL_FLG,CRT_ID,CRT_TIME,UPD_ID,UPD_TIME,ACT_ID,ACT_TIME,VER) VALUES('mail.port','25','邮箱服务器端口','0', 'admin', now(), 'admin', now(), 'admin', now(), 1);</v>
      </c>
    </row>
    <row r="57" spans="2:8">
      <c r="B57" s="82" t="s">
        <v>1453</v>
      </c>
      <c r="C57" s="87"/>
      <c r="D57" s="83" t="s">
        <v>1455</v>
      </c>
      <c r="E57" s="82">
        <v>0</v>
      </c>
      <c r="F57" s="82" t="s">
        <v>1443</v>
      </c>
      <c r="G57" s="83" t="s">
        <v>1444</v>
      </c>
      <c r="H57" t="str">
        <f t="shared" si="0"/>
        <v>INSERT INTO COMM_CONFIG(SYSTEM_KEY,SYSTEM_VALUE,SYSTEM_DESC,DEL_FLG,CRT_ID,CRT_TIME,UPD_ID,UPD_TIME,ACT_ID,ACT_TIME,VER) VALUES('mail.proxyHost',NULL,'代理服务器','0', 'admin', now(), 'admin', now(), 'admin', now(), 1);</v>
      </c>
    </row>
    <row r="58" spans="2:8">
      <c r="B58" s="82" t="s">
        <v>1454</v>
      </c>
      <c r="C58" s="87"/>
      <c r="D58" s="83" t="s">
        <v>1456</v>
      </c>
      <c r="E58" s="82">
        <v>0</v>
      </c>
      <c r="F58" s="82" t="s">
        <v>1443</v>
      </c>
      <c r="G58" s="83" t="s">
        <v>1444</v>
      </c>
      <c r="H58" t="str">
        <f t="shared" si="0"/>
        <v>INSERT INTO COMM_CONFIG(SYSTEM_KEY,SYSTEM_VALUE,SYSTEM_DESC,DEL_FLG,CRT_ID,CRT_TIME,UPD_ID,UPD_TIME,ACT_ID,ACT_TIME,VER) VALUES('mail.proxyPort',NULL,'代理服务器端口','0', 'admin', now(), 'admin', now(), 'admin', now(), 1);</v>
      </c>
    </row>
    <row r="59" spans="2:8">
      <c r="B59" s="82" t="s">
        <v>1457</v>
      </c>
      <c r="C59" s="87" t="s">
        <v>1470</v>
      </c>
      <c r="D59" s="83" t="s">
        <v>1463</v>
      </c>
      <c r="E59" s="82">
        <v>0</v>
      </c>
      <c r="F59" s="82" t="s">
        <v>1443</v>
      </c>
      <c r="G59" s="83" t="s">
        <v>1444</v>
      </c>
      <c r="H59" t="str">
        <f t="shared" si="0"/>
        <v>INSERT INTO COMM_CONFIG(SYSTEM_KEY,SYSTEM_VALUE,SYSTEM_DESC,DEL_FLG,CRT_ID,CRT_TIME,UPD_ID,UPD_TIME,ACT_ID,ACT_TIME,VER) VALUES('mail.sender','oms-uat','邮箱发送人名称','0', 'admin', now(), 'admin', now(), 'admin', now(), 1);</v>
      </c>
    </row>
    <row r="60" spans="2:8">
      <c r="B60" s="82" t="s">
        <v>1458</v>
      </c>
      <c r="C60" s="87" t="b">
        <v>0</v>
      </c>
      <c r="D60" s="83" t="s">
        <v>1464</v>
      </c>
      <c r="E60" s="82">
        <v>0</v>
      </c>
      <c r="F60" s="82" t="s">
        <v>1443</v>
      </c>
      <c r="G60" s="83" t="s">
        <v>1444</v>
      </c>
      <c r="H60" t="str">
        <f t="shared" si="0"/>
        <v>INSERT INTO COMM_CONFIG(SYSTEM_KEY,SYSTEM_VALUE,SYSTEM_DESC,DEL_FLG,CRT_ID,CRT_TIME,UPD_ID,UPD_TIME,ACT_ID,ACT_TIME,VER) VALUES('mail.ssl','FALSE','是否启动ssl','0', 'admin', now(), 'admin', now(), 'admin', now(), 1);</v>
      </c>
    </row>
    <row r="61" spans="2:8">
      <c r="B61" s="13" t="s">
        <v>49</v>
      </c>
      <c r="C61" s="9"/>
      <c r="D61" s="12"/>
      <c r="E61" s="11"/>
      <c r="F61" s="11"/>
      <c r="G61" s="11"/>
    </row>
    <row r="62" spans="2:8">
      <c r="B62" s="11"/>
      <c r="C62" s="12"/>
      <c r="D62" s="12"/>
      <c r="E62" s="11"/>
      <c r="F62" s="11"/>
      <c r="G62" s="11"/>
    </row>
    <row r="63" spans="2:8">
      <c r="B63" s="11"/>
      <c r="C63" s="12"/>
      <c r="D63" s="12"/>
      <c r="E63" s="11"/>
      <c r="F63" s="11"/>
      <c r="G63" s="11"/>
    </row>
    <row r="64" spans="2:8">
      <c r="B64" s="11"/>
      <c r="C64" s="12"/>
      <c r="D64" s="12"/>
      <c r="E64" s="11"/>
      <c r="F64" s="11"/>
      <c r="G64" s="11"/>
    </row>
    <row r="65" spans="2:7">
      <c r="B65" s="11"/>
      <c r="C65" s="12"/>
      <c r="D65" s="12"/>
      <c r="E65" s="11"/>
      <c r="F65" s="11"/>
      <c r="G65" s="11"/>
    </row>
    <row r="66" spans="2:7">
      <c r="B66" s="11"/>
      <c r="C66" s="12"/>
      <c r="D66" s="12"/>
      <c r="E66" s="11"/>
      <c r="F66" s="11"/>
      <c r="G66" s="11"/>
    </row>
  </sheetData>
  <phoneticPr fontId="14" type="noConversion"/>
  <hyperlinks>
    <hyperlink ref="B12" r:id="rId1"/>
    <hyperlink ref="B13" r:id="rId2"/>
    <hyperlink ref="B14" r:id="rId3"/>
    <hyperlink ref="B16" r:id="rId4"/>
    <hyperlink ref="C27" r:id="rId5"/>
    <hyperlink ref="C28" r:id="rId6"/>
    <hyperlink ref="C34" r:id="rId7"/>
  </hyperlinks>
  <pageMargins left="0.69930555555555596" right="0.69930555555555596" top="0.75" bottom="0.75" header="0.3" footer="0.3"/>
  <pageSetup paperSize="9" orientation="portrait"/>
  <legacyDrawing r:id="rId8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B1:H65"/>
  <sheetViews>
    <sheetView zoomScale="85" zoomScaleNormal="85" zoomScalePageLayoutView="85" workbookViewId="0">
      <pane xSplit="1" ySplit="4" topLeftCell="B41" activePane="bottomRight" state="frozen"/>
      <selection pane="topRight" activeCell="B1" sqref="B1"/>
      <selection pane="bottomLeft" activeCell="A5" sqref="A5"/>
      <selection pane="bottomRight" activeCell="B61" sqref="B61"/>
    </sheetView>
  </sheetViews>
  <sheetFormatPr defaultColWidth="9" defaultRowHeight="13.5"/>
  <cols>
    <col min="1" max="1" width="1.875" customWidth="1"/>
    <col min="2" max="2" width="25" bestFit="1" customWidth="1"/>
    <col min="3" max="3" width="44.625" customWidth="1"/>
    <col min="4" max="4" width="29.625" customWidth="1"/>
    <col min="5" max="5" width="12" customWidth="1"/>
    <col min="6" max="6" width="13.125" customWidth="1"/>
    <col min="7" max="7" width="36" customWidth="1"/>
  </cols>
  <sheetData>
    <row r="1" spans="2:8">
      <c r="B1" s="2" t="s">
        <v>35</v>
      </c>
      <c r="C1" s="3" t="s">
        <v>481</v>
      </c>
      <c r="D1" s="4" t="s">
        <v>7</v>
      </c>
    </row>
    <row r="2" spans="2:8" s="1" customFormat="1" ht="12" customHeight="1">
      <c r="B2" s="5" t="s">
        <v>482</v>
      </c>
      <c r="C2" s="5" t="s">
        <v>483</v>
      </c>
      <c r="D2" s="5" t="s">
        <v>42</v>
      </c>
      <c r="E2" s="5" t="s">
        <v>36</v>
      </c>
      <c r="F2" s="6" t="s">
        <v>62</v>
      </c>
      <c r="G2" s="6" t="s">
        <v>63</v>
      </c>
    </row>
    <row r="3" spans="2:8" s="1" customFormat="1" ht="12" customHeight="1">
      <c r="B3" s="5" t="s">
        <v>484</v>
      </c>
      <c r="C3" s="5" t="s">
        <v>485</v>
      </c>
      <c r="D3" s="5" t="s">
        <v>486</v>
      </c>
      <c r="E3" s="5" t="s">
        <v>37</v>
      </c>
      <c r="F3" s="6"/>
      <c r="G3" s="6"/>
    </row>
    <row r="4" spans="2:8" s="1" customFormat="1" ht="12" customHeight="1">
      <c r="B4" s="7" t="s">
        <v>38</v>
      </c>
      <c r="C4" s="7"/>
      <c r="D4" s="7"/>
      <c r="E4" s="7"/>
      <c r="F4" s="7"/>
      <c r="G4" s="7"/>
      <c r="H4" s="1" t="s">
        <v>487</v>
      </c>
    </row>
    <row r="5" spans="2:8">
      <c r="B5" s="8" t="s">
        <v>488</v>
      </c>
      <c r="C5" s="8" t="s">
        <v>590</v>
      </c>
      <c r="D5" s="8" t="s">
        <v>490</v>
      </c>
      <c r="E5" s="8">
        <v>0</v>
      </c>
      <c r="F5" s="8"/>
      <c r="G5" s="9" t="s">
        <v>491</v>
      </c>
      <c r="H5" t="str">
        <f>"INSERT INTO COMM_CONFIG("&amp;$B$3&amp;","&amp;$C$3&amp;","&amp;$D$3&amp;","&amp;$E$3&amp;",CRT_ID,CRT_TIME,UPD_ID,UPD_TIME,ACT_ID,ACT_TIME,VER) VALUES("&amp;IF(B5="","NULL","'"&amp;B5&amp;"'")&amp;","&amp;IF(C5="","NULL","'"&amp;C5&amp;"'")&amp;","&amp;IF(D5="","NULL","'"&amp;D5&amp;"'")&amp;","&amp;IF(E5="","NULL","'"&amp;E5&amp;"'")&amp;", 'admin', now(), 'admin', now(), 'admin', now(), 1);"</f>
        <v>INSERT INTO COMM_CONFIG(SYSTEM_KEY,SYSTEM_VALUE,SYSTEM_DESC,DEL_FLG,CRT_ID,CRT_TIME,UPD_ID,UPD_TIME,ACT_ID,ACT_TIME,VER) VALUES('sys.env','prod','系统环境区分','0', 'admin', now(), 'admin', now(), 'admin', now(), 1);</v>
      </c>
    </row>
    <row r="6" spans="2:8">
      <c r="B6" s="8" t="s">
        <v>492</v>
      </c>
      <c r="C6" s="8">
        <v>0</v>
      </c>
      <c r="D6" s="8" t="s">
        <v>493</v>
      </c>
      <c r="E6" s="8">
        <v>0</v>
      </c>
      <c r="F6" s="8"/>
      <c r="G6" s="10" t="s">
        <v>494</v>
      </c>
      <c r="H6" t="str">
        <f t="shared" ref="H6:H60" si="0">"INSERT INTO COMM_CONFIG("&amp;$B$3&amp;","&amp;$C$3&amp;","&amp;$D$3&amp;","&amp;$E$3&amp;",CRT_ID,CRT_TIME,UPD_ID,UPD_TIME,ACT_ID,ACT_TIME,VER) VALUES("&amp;IF(B6="","NULL","'"&amp;B6&amp;"'")&amp;","&amp;IF(C6="","NULL","'"&amp;C6&amp;"'")&amp;","&amp;IF(D6="","NULL","'"&amp;D6&amp;"'")&amp;","&amp;IF(E6="","NULL","'"&amp;E6&amp;"'")&amp;", 'admin', now(), 'admin', now(), 'admin', now(), 1);"</f>
        <v>INSERT INTO COMM_CONFIG(SYSTEM_KEY,SYSTEM_VALUE,SYSTEM_DESC,DEL_FLG,CRT_ID,CRT_TIME,UPD_ID,UPD_TIME,ACT_ID,ACT_TIME,VER) VALUES('sys.isDebug','0','调试开关','0', 'admin', now(), 'admin', now(), 'admin', now(), 1);</v>
      </c>
    </row>
    <row r="7" spans="2:8">
      <c r="B7" s="8" t="s">
        <v>495</v>
      </c>
      <c r="C7" s="8">
        <v>0</v>
      </c>
      <c r="D7" s="8" t="s">
        <v>496</v>
      </c>
      <c r="E7" s="8">
        <v>0</v>
      </c>
      <c r="F7" s="8"/>
      <c r="G7" s="9" t="s">
        <v>497</v>
      </c>
      <c r="H7" t="str">
        <f t="shared" si="0"/>
        <v>INSERT INTO COMM_CONFIG(SYSTEM_KEY,SYSTEM_VALUE,SYSTEM_DESC,DEL_FLG,CRT_ID,CRT_TIME,UPD_ID,UPD_TIME,ACT_ID,ACT_TIME,VER) VALUES('sys.needAuthCheck','0','权限控制开关','0', 'admin', now(), 'admin', now(), 'admin', now(), 1);</v>
      </c>
    </row>
    <row r="8" spans="2:8">
      <c r="B8" s="8" t="s">
        <v>498</v>
      </c>
      <c r="C8" s="8" t="s">
        <v>499</v>
      </c>
      <c r="D8" s="8" t="s">
        <v>500</v>
      </c>
      <c r="E8" s="8">
        <v>0</v>
      </c>
      <c r="F8" s="8" t="s">
        <v>501</v>
      </c>
      <c r="G8" s="8"/>
      <c r="H8" t="str">
        <f t="shared" si="0"/>
        <v>INSERT INTO COMM_CONFIG(SYSTEM_KEY,SYSTEM_VALUE,SYSTEM_DESC,DEL_FLG,CRT_ID,CRT_TIME,UPD_ID,UPD_TIME,ACT_ID,ACT_TIME,VER) VALUES('SMS.URL','http://sms.api.ums86.com:8899/sms/Api/Send.do','短信API地址','0', 'admin', now(), 'admin', now(), 'admin', now(), 1);</v>
      </c>
    </row>
    <row r="9" spans="2:8">
      <c r="B9" s="8" t="s">
        <v>502</v>
      </c>
      <c r="C9" s="8">
        <v>230716</v>
      </c>
      <c r="D9" s="8" t="s">
        <v>503</v>
      </c>
      <c r="E9" s="8">
        <v>0</v>
      </c>
      <c r="F9" s="8" t="s">
        <v>501</v>
      </c>
      <c r="G9" s="8"/>
      <c r="H9" t="str">
        <f t="shared" si="0"/>
        <v>INSERT INTO COMM_CONFIG(SYSTEM_KEY,SYSTEM_VALUE,SYSTEM_DESC,DEL_FLG,CRT_ID,CRT_TIME,UPD_ID,UPD_TIME,ACT_ID,ACT_TIME,VER) VALUES('SMS.SUPPLIER','230716','短信供应商编码','0', 'admin', now(), 'admin', now(), 'admin', now(), 1);</v>
      </c>
    </row>
    <row r="10" spans="2:8">
      <c r="B10" s="11" t="s">
        <v>504</v>
      </c>
      <c r="C10" s="8" t="s">
        <v>336</v>
      </c>
      <c r="D10" s="11" t="s">
        <v>505</v>
      </c>
      <c r="E10" s="8">
        <v>0</v>
      </c>
      <c r="F10" s="11"/>
      <c r="G10" s="11"/>
      <c r="H10" t="str">
        <f t="shared" si="0"/>
        <v>INSERT INTO COMM_CONFIG(SYSTEM_KEY,SYSTEM_VALUE,SYSTEM_DESC,DEL_FLG,CRT_ID,CRT_TIME,UPD_ID,UPD_TIME,ACT_ID,ACT_TIME,VER) VALUES('SMS.USER','SNK','短信用户','0', 'admin', now(), 'admin', now(), 'admin', now(), 1);</v>
      </c>
    </row>
    <row r="11" spans="2:8">
      <c r="B11" s="11" t="s">
        <v>506</v>
      </c>
      <c r="C11" s="8" t="s">
        <v>507</v>
      </c>
      <c r="D11" s="11" t="s">
        <v>508</v>
      </c>
      <c r="E11" s="8">
        <v>0</v>
      </c>
      <c r="F11" s="11"/>
      <c r="G11" s="11"/>
      <c r="H11" t="str">
        <f t="shared" si="0"/>
        <v>INSERT INTO COMM_CONFIG(SYSTEM_KEY,SYSTEM_VALUE,SYSTEM_DESC,DEL_FLG,CRT_ID,CRT_TIME,UPD_ID,UPD_TIME,ACT_ID,ACT_TIME,VER) VALUES('SMS.PWD','shennongke123456','短信密码','0', 'admin', now(), 'admin', now(), 'admin', now(), 1);</v>
      </c>
    </row>
    <row r="12" spans="2:8">
      <c r="B12" s="11" t="s">
        <v>509</v>
      </c>
      <c r="C12" s="8" t="s">
        <v>591</v>
      </c>
      <c r="D12" s="11" t="s">
        <v>511</v>
      </c>
      <c r="E12" s="8">
        <v>0</v>
      </c>
      <c r="F12" s="11"/>
      <c r="G12" s="11"/>
      <c r="H12" t="str">
        <f t="shared" si="0"/>
        <v>INSERT INTO COMM_CONFIG(SYSTEM_KEY,SYSTEM_VALUE,SYSTEM_DESC,DEL_FLG,CRT_ID,CRT_TIME,UPD_ID,UPD_TIME,ACT_ID,ACT_TIME,VER) VALUES('ftp.ip','10.20.10.2','FTP IP','0', 'admin', now(), 'admin', now(), 'admin', now(), 1);</v>
      </c>
    </row>
    <row r="13" spans="2:8">
      <c r="B13" s="11" t="s">
        <v>512</v>
      </c>
      <c r="C13" s="8" t="s">
        <v>513</v>
      </c>
      <c r="D13" s="11" t="s">
        <v>514</v>
      </c>
      <c r="E13" s="8">
        <v>0</v>
      </c>
      <c r="F13" s="11"/>
      <c r="G13" s="11"/>
      <c r="H13" t="str">
        <f t="shared" si="0"/>
        <v>INSERT INTO COMM_CONFIG(SYSTEM_KEY,SYSTEM_VALUE,SYSTEM_DESC,DEL_FLG,CRT_ID,CRT_TIME,UPD_ID,UPD_TIME,ACT_ID,ACT_TIME,VER) VALUES('ftp.user','ftp_user','FTP User','0', 'admin', now(), 'admin', now(), 'admin', now(), 1);</v>
      </c>
    </row>
    <row r="14" spans="2:8">
      <c r="B14" s="11" t="s">
        <v>515</v>
      </c>
      <c r="C14" s="8" t="s">
        <v>592</v>
      </c>
      <c r="D14" s="11" t="s">
        <v>516</v>
      </c>
      <c r="E14" s="8">
        <v>0</v>
      </c>
      <c r="F14" s="11"/>
      <c r="G14" s="11"/>
      <c r="H14" t="str">
        <f t="shared" si="0"/>
        <v>INSERT INTO COMM_CONFIG(SYSTEM_KEY,SYSTEM_VALUE,SYSTEM_DESC,DEL_FLG,CRT_ID,CRT_TIME,UPD_ID,UPD_TIME,ACT_ID,ACT_TIME,VER) VALUES('ftp.pwd','FileUser123','FTP PWD','0', 'admin', now(), 'admin', now(), 'admin', now(), 1);</v>
      </c>
    </row>
    <row r="15" spans="2:8">
      <c r="B15" s="11" t="s">
        <v>517</v>
      </c>
      <c r="C15" s="8" t="s">
        <v>593</v>
      </c>
      <c r="D15" s="11" t="s">
        <v>519</v>
      </c>
      <c r="E15" s="11">
        <v>0</v>
      </c>
      <c r="F15" s="11"/>
      <c r="G15" s="11"/>
      <c r="H15" t="str">
        <f t="shared" si="0"/>
        <v>INSERT INTO COMM_CONFIG(SYSTEM_KEY,SYSTEM_VALUE,SYSTEM_DESC,DEL_FLG,CRT_ID,CRT_TIME,UPD_ID,UPD_TIME,ACT_ID,ACT_TIME,VER) VALUES('ftp.http.url','http://bms.xianchida.com/msk-image','文件服务器http访问url','0', 'admin', now(), 'admin', now(), 'admin', now(), 1);</v>
      </c>
    </row>
    <row r="16" spans="2:8">
      <c r="B16" s="11" t="s">
        <v>520</v>
      </c>
      <c r="C16" s="8" t="s">
        <v>521</v>
      </c>
      <c r="D16" s="11" t="s">
        <v>522</v>
      </c>
      <c r="E16" s="8">
        <v>0</v>
      </c>
      <c r="F16" s="11"/>
      <c r="G16" s="11"/>
      <c r="H16" t="str">
        <f t="shared" si="0"/>
        <v>INSERT INTO COMM_CONFIG(SYSTEM_KEY,SYSTEM_VALUE,SYSTEM_DESC,DEL_FLG,CRT_ID,CRT_TIME,UPD_ID,UPD_TIME,ACT_ID,ACT_TIME,VER) VALUES('ftp.imageRootPath','/msk-image/','FTP 图片根目录','0', 'admin', now(), 'admin', now(), 'admin', now(), 1);</v>
      </c>
    </row>
    <row r="17" spans="2:8">
      <c r="B17" s="11" t="s">
        <v>523</v>
      </c>
      <c r="C17" s="8" t="s">
        <v>594</v>
      </c>
      <c r="D17" s="11" t="s">
        <v>525</v>
      </c>
      <c r="E17" s="8">
        <v>0</v>
      </c>
      <c r="F17" s="11"/>
      <c r="G17" s="11"/>
      <c r="H17" t="str">
        <f t="shared" si="0"/>
        <v>INSERT INTO COMM_CONFIG(SYSTEM_KEY,SYSTEM_VALUE,SYSTEM_DESC,DEL_FLG,CRT_ID,CRT_TIME,UPD_ID,UPD_TIME,ACT_ID,ACT_TIME,VER) VALUES('wms.ftp.ip','10.20.10.111','仓储物流系统FTP地址','0', 'admin', now(), 'admin', now(), 'admin', now(), 1);</v>
      </c>
    </row>
    <row r="18" spans="2:8">
      <c r="B18" s="11" t="s">
        <v>526</v>
      </c>
      <c r="C18" s="8" t="s">
        <v>527</v>
      </c>
      <c r="D18" s="11" t="s">
        <v>528</v>
      </c>
      <c r="E18" s="8">
        <v>0</v>
      </c>
      <c r="F18" s="11"/>
      <c r="G18" s="11"/>
      <c r="H18" t="str">
        <f t="shared" si="0"/>
        <v>INSERT INTO COMM_CONFIG(SYSTEM_KEY,SYSTEM_VALUE,SYSTEM_DESC,DEL_FLG,CRT_ID,CRT_TIME,UPD_ID,UPD_TIME,ACT_ID,ACT_TIME,VER) VALUES('wms.ftp.user','fuji','仓储物流系统FTP用户','0', 'admin', now(), 'admin', now(), 'admin', now(), 1);</v>
      </c>
    </row>
    <row r="19" spans="2:8">
      <c r="B19" s="11" t="s">
        <v>529</v>
      </c>
      <c r="C19" s="8">
        <v>123456</v>
      </c>
      <c r="D19" s="11" t="s">
        <v>531</v>
      </c>
      <c r="E19" s="8">
        <v>0</v>
      </c>
      <c r="F19" s="11"/>
      <c r="G19" s="11"/>
      <c r="H19" t="str">
        <f t="shared" si="0"/>
        <v>INSERT INTO COMM_CONFIG(SYSTEM_KEY,SYSTEM_VALUE,SYSTEM_DESC,DEL_FLG,CRT_ID,CRT_TIME,UPD_ID,UPD_TIME,ACT_ID,ACT_TIME,VER) VALUES('wms.ftp.pwd','123456','仓储物流系统FTP密码','0', 'admin', now(), 'admin', now(), 'admin', now(), 1);</v>
      </c>
    </row>
    <row r="20" spans="2:8">
      <c r="B20" s="11" t="s">
        <v>532</v>
      </c>
      <c r="C20" s="8">
        <v>2</v>
      </c>
      <c r="D20" s="11" t="s">
        <v>533</v>
      </c>
      <c r="E20" s="8">
        <v>0</v>
      </c>
      <c r="F20" s="11"/>
      <c r="G20" s="11"/>
      <c r="H20" t="str">
        <f t="shared" si="0"/>
        <v>INSERT INTO COMM_CONFIG(SYSTEM_KEY,SYSTEM_VALUE,SYSTEM_DESC,DEL_FLG,CRT_ID,CRT_TIME,UPD_ID,UPD_TIME,ACT_ID,ACT_TIME,VER) VALUES('supplier_dept_id','2','供应商的部门ID固定值设定','0', 'admin', now(), 'admin', now(), 'admin', now(), 1);</v>
      </c>
    </row>
    <row r="21" spans="2:8">
      <c r="B21" s="11" t="s">
        <v>534</v>
      </c>
      <c r="C21" s="8">
        <v>7</v>
      </c>
      <c r="D21" s="11" t="s">
        <v>535</v>
      </c>
      <c r="E21" s="8">
        <v>0</v>
      </c>
      <c r="F21" s="11"/>
      <c r="G21" s="11"/>
      <c r="H21" t="str">
        <f t="shared" si="0"/>
        <v>INSERT INTO COMM_CONFIG(SYSTEM_KEY,SYSTEM_VALUE,SYSTEM_DESC,DEL_FLG,CRT_ID,CRT_TIME,UPD_ID,UPD_TIME,ACT_ID,ACT_TIME,VER) VALUES('supplier_role_id','7','供应商的角色ID固定值设定','0', 'admin', now(), 'admin', now(), 'admin', now(), 1);</v>
      </c>
    </row>
    <row r="22" spans="2:8">
      <c r="B22" s="46" t="s">
        <v>536</v>
      </c>
      <c r="C22" s="52" t="s">
        <v>595</v>
      </c>
      <c r="D22" s="46" t="s">
        <v>538</v>
      </c>
      <c r="E22" s="46">
        <v>0</v>
      </c>
      <c r="F22" s="46"/>
      <c r="G22" s="46"/>
    </row>
    <row r="23" spans="2:8">
      <c r="B23" s="46" t="s">
        <v>539</v>
      </c>
      <c r="C23" s="52" t="s">
        <v>596</v>
      </c>
      <c r="D23" s="46" t="s">
        <v>538</v>
      </c>
      <c r="E23" s="46">
        <v>0</v>
      </c>
      <c r="F23" s="46"/>
      <c r="G23" s="46"/>
    </row>
    <row r="24" spans="2:8">
      <c r="B24" s="46" t="s">
        <v>541</v>
      </c>
      <c r="C24" s="52" t="s">
        <v>597</v>
      </c>
      <c r="D24" s="46" t="s">
        <v>543</v>
      </c>
      <c r="E24" s="46">
        <v>0</v>
      </c>
      <c r="F24" s="46"/>
      <c r="G24" s="46"/>
    </row>
    <row r="25" spans="2:8">
      <c r="B25" s="11" t="s">
        <v>544</v>
      </c>
      <c r="C25" s="53" t="s">
        <v>598</v>
      </c>
      <c r="D25" s="11" t="s">
        <v>546</v>
      </c>
      <c r="E25" s="11">
        <v>0</v>
      </c>
      <c r="F25" s="11"/>
      <c r="G25" s="11"/>
      <c r="H25" t="str">
        <f t="shared" si="0"/>
        <v>INSERT INTO COMM_CONFIG(SYSTEM_KEY,SYSTEM_VALUE,SYSTEM_DESC,DEL_FLG,CRT_ID,CRT_TIME,UPD_ID,UPD_TIME,ACT_ID,ACT_TIME,VER) VALUES('file.server.upload','http://file.xianchida.com/_upload','文件上传','0', 'admin', now(), 'admin', now(), 'admin', now(), 1);</v>
      </c>
    </row>
    <row r="26" spans="2:8">
      <c r="B26" s="11" t="s">
        <v>547</v>
      </c>
      <c r="C26" s="53" t="s">
        <v>599</v>
      </c>
      <c r="D26" s="11" t="s">
        <v>549</v>
      </c>
      <c r="E26" s="11">
        <v>0</v>
      </c>
      <c r="F26" s="11"/>
      <c r="G26" s="11"/>
      <c r="H26" t="str">
        <f t="shared" si="0"/>
        <v>INSERT INTO COMM_CONFIG(SYSTEM_KEY,SYSTEM_VALUE,SYSTEM_DESC,DEL_FLG,CRT_ID,CRT_TIME,UPD_ID,UPD_TIME,ACT_ID,ACT_TIME,VER) VALUES('file.server','http://file.xianchida.com/_download','获得文件','0', 'admin', now(), 'admin', now(), 'admin', now(), 1);</v>
      </c>
    </row>
    <row r="27" spans="2:8">
      <c r="B27" s="82" t="s">
        <v>1375</v>
      </c>
      <c r="C27" s="84" t="s">
        <v>1392</v>
      </c>
      <c r="D27" s="83" t="s">
        <v>1386</v>
      </c>
      <c r="E27" s="82">
        <v>0</v>
      </c>
      <c r="F27" s="82"/>
      <c r="G27" s="82"/>
      <c r="H27" t="str">
        <f t="shared" si="0"/>
        <v>INSERT INTO COMM_CONFIG(SYSTEM_KEY,SYSTEM_VALUE,SYSTEM_DESC,DEL_FLG,CRT_ID,CRT_TIME,UPD_ID,UPD_TIME,ACT_ID,ACT_TIME,VER) VALUES('file.server.upload.inside','http://10.20.10.100/_upload','文件上传(内网地址)','0', 'admin', now(), 'admin', now(), 'admin', now(), 1);</v>
      </c>
    </row>
    <row r="28" spans="2:8">
      <c r="B28" s="82" t="s">
        <v>1376</v>
      </c>
      <c r="C28" s="84" t="s">
        <v>1393</v>
      </c>
      <c r="D28" s="83" t="s">
        <v>1387</v>
      </c>
      <c r="E28" s="82">
        <v>0</v>
      </c>
      <c r="F28" s="82"/>
      <c r="G28" s="82"/>
      <c r="H28" t="str">
        <f t="shared" si="0"/>
        <v>INSERT INTO COMM_CONFIG(SYSTEM_KEY,SYSTEM_VALUE,SYSTEM_DESC,DEL_FLG,CRT_ID,CRT_TIME,UPD_ID,UPD_TIME,ACT_ID,ACT_TIME,VER) VALUES('file.server.download.inside','http://10.20.10.100/_download','获得文件(内网地址)','0', 'admin', now(), 'admin', now(), 'admin', now(), 1);</v>
      </c>
    </row>
    <row r="29" spans="2:8">
      <c r="B29" s="11" t="s">
        <v>550</v>
      </c>
      <c r="C29" s="8" t="s">
        <v>776</v>
      </c>
      <c r="D29" s="11" t="s">
        <v>552</v>
      </c>
      <c r="E29" s="11">
        <v>0</v>
      </c>
      <c r="F29" s="11" t="s">
        <v>553</v>
      </c>
      <c r="G29" s="12" t="s">
        <v>554</v>
      </c>
      <c r="H29" t="str">
        <f t="shared" si="0"/>
        <v>INSERT INTO COMM_CONFIG(SYSTEM_KEY,SYSTEM_VALUE,SYSTEM_DESC,DEL_FLG,CRT_ID,CRT_TIME,UPD_ID,UPD_TIME,ACT_ID,ACT_TIME,VER) VALUES('sso.url.outside','http://bms.xianchida.com/sso','SSO站点外网地址','0', 'admin', now(), 'admin', now(), 'admin', now(), 1);</v>
      </c>
    </row>
    <row r="30" spans="2:8">
      <c r="B30" s="49" t="s">
        <v>555</v>
      </c>
      <c r="C30" s="53" t="s">
        <v>776</v>
      </c>
      <c r="D30" s="49" t="s">
        <v>556</v>
      </c>
      <c r="E30" s="49">
        <v>0</v>
      </c>
      <c r="F30" s="49" t="s">
        <v>553</v>
      </c>
      <c r="G30" s="51" t="s">
        <v>588</v>
      </c>
      <c r="H30" t="str">
        <f t="shared" si="0"/>
        <v>INSERT INTO COMM_CONFIG(SYSTEM_KEY,SYSTEM_VALUE,SYSTEM_DESC,DEL_FLG,CRT_ID,CRT_TIME,UPD_ID,UPD_TIME,ACT_ID,ACT_TIME,VER) VALUES('sso.url.inside','http://bms.xianchida.com/sso','SSO站点内网地址','0', 'admin', now(), 'admin', now(), 'admin', now(), 1);</v>
      </c>
    </row>
    <row r="31" spans="2:8">
      <c r="B31" s="49" t="s">
        <v>558</v>
      </c>
      <c r="C31" s="53" t="s">
        <v>600</v>
      </c>
      <c r="D31" s="49" t="s">
        <v>559</v>
      </c>
      <c r="E31" s="49">
        <v>0</v>
      </c>
      <c r="F31" s="49" t="s">
        <v>560</v>
      </c>
      <c r="G31" s="51" t="s">
        <v>601</v>
      </c>
      <c r="H31" t="str">
        <f t="shared" si="0"/>
        <v>INSERT INTO COMM_CONFIG(SYSTEM_KEY,SYSTEM_VALUE,SYSTEM_DESC,DEL_FLG,CRT_ID,CRT_TIME,UPD_ID,UPD_TIME,ACT_ID,ACT_TIME,VER) VALUES('http.proxyHost','10.20.10.100','HTTP正向代理主机IP（没有代理时不要设）','0', 'admin', now(), 'admin', now(), 'admin', now(), 1);</v>
      </c>
    </row>
    <row r="32" spans="2:8">
      <c r="B32" s="49" t="s">
        <v>561</v>
      </c>
      <c r="C32" s="53">
        <v>8081</v>
      </c>
      <c r="D32" s="49" t="s">
        <v>562</v>
      </c>
      <c r="E32" s="49">
        <v>0</v>
      </c>
      <c r="F32" s="49" t="s">
        <v>560</v>
      </c>
      <c r="G32" s="51" t="s">
        <v>601</v>
      </c>
      <c r="H32" t="str">
        <f t="shared" si="0"/>
        <v>INSERT INTO COMM_CONFIG(SYSTEM_KEY,SYSTEM_VALUE,SYSTEM_DESC,DEL_FLG,CRT_ID,CRT_TIME,UPD_ID,UPD_TIME,ACT_ID,ACT_TIME,VER) VALUES('http.proxyPort','8081','HTTP正向代理主机端口（没有代理时不要设）','0', 'admin', now(), 'admin', now(), 'admin', now(), 1);</v>
      </c>
    </row>
    <row r="33" spans="2:8">
      <c r="B33" s="49" t="s">
        <v>563</v>
      </c>
      <c r="C33" s="53" t="s">
        <v>602</v>
      </c>
      <c r="D33" s="49" t="s">
        <v>564</v>
      </c>
      <c r="E33" s="49">
        <v>0</v>
      </c>
      <c r="F33" s="49"/>
      <c r="G33" s="51" t="s">
        <v>554</v>
      </c>
      <c r="H33" t="str">
        <f t="shared" si="0"/>
        <v>INSERT INTO COMM_CONFIG(SYSTEM_KEY,SYSTEM_VALUE,SYSTEM_DESC,DEL_FLG,CRT_ID,CRT_TIME,UPD_ID,UPD_TIME,ACT_ID,ACT_TIME,VER) VALUES('web.server.url','http://bms.xianchida.com/bms','后台系统站点地址','0', 'admin', now(), 'admin', now(), 'admin', now(), 1);</v>
      </c>
    </row>
    <row r="34" spans="2:8">
      <c r="B34" s="49" t="s">
        <v>565</v>
      </c>
      <c r="C34" s="86" t="s">
        <v>1391</v>
      </c>
      <c r="D34" s="49" t="s">
        <v>566</v>
      </c>
      <c r="E34" s="49">
        <v>0</v>
      </c>
      <c r="F34" s="49" t="s">
        <v>567</v>
      </c>
      <c r="G34" s="51" t="s">
        <v>557</v>
      </c>
      <c r="H34" t="str">
        <f t="shared" si="0"/>
        <v>INSERT INTO COMM_CONFIG(SYSTEM_KEY,SYSTEM_VALUE,SYSTEM_DESC,DEL_FLG,CRT_ID,CRT_TIME,UPD_ID,UPD_TIME,ACT_ID,ACT_TIME,VER) VALUES('api.url.inside','http://10.20.10.100/bms','后台系统内部接口内网地址','0', 'admin', now(), 'admin', now(), 'admin', now(), 1);</v>
      </c>
    </row>
    <row r="35" spans="2:8">
      <c r="B35" s="49" t="s">
        <v>607</v>
      </c>
      <c r="C35" s="60" t="s">
        <v>834</v>
      </c>
      <c r="D35" s="58" t="s">
        <v>810</v>
      </c>
      <c r="E35" s="49">
        <v>0</v>
      </c>
      <c r="F35" s="49"/>
      <c r="G35" s="51"/>
      <c r="H35" t="str">
        <f t="shared" si="0"/>
        <v>INSERT INTO COMM_CONFIG(SYSTEM_KEY,SYSTEM_VALUE,SYSTEM_DESC,DEL_FLG,CRT_ID,CRT_TIME,UPD_ID,UPD_TIME,ACT_ID,ACT_TIME,VER) VALUES('api.url.searchPrice','http://10.20.10.100/bms-snk-price/api/sp/getPriceBox','查询箱价接口地址','0', 'admin', now(), 'admin', now(), 'admin', now(), 1);</v>
      </c>
    </row>
    <row r="36" spans="2:8">
      <c r="B36" s="49" t="s">
        <v>640</v>
      </c>
      <c r="C36" s="57" t="s">
        <v>835</v>
      </c>
      <c r="D36" s="58" t="s">
        <v>642</v>
      </c>
      <c r="E36" s="49">
        <v>0</v>
      </c>
      <c r="F36" s="49"/>
      <c r="G36" s="51" t="s">
        <v>646</v>
      </c>
      <c r="H36" t="str">
        <f t="shared" si="0"/>
        <v>INSERT INTO COMM_CONFIG(SYSTEM_KEY,SYSTEM_VALUE,SYSTEM_DESC,DEL_FLG,CRT_ID,CRT_TIME,UPD_ID,UPD_TIME,ACT_ID,ACT_TIME,VER) VALUES('api.url.searchPrintOrder','http://10.20.10.100/bms/api/v1/so/detail/print','查询打印订单详细信息接口地址','0', 'admin', now(), 'admin', now(), 'admin', now(), 1);</v>
      </c>
    </row>
    <row r="37" spans="2:8">
      <c r="B37" s="49" t="s">
        <v>641</v>
      </c>
      <c r="C37" s="57" t="s">
        <v>836</v>
      </c>
      <c r="D37" s="58" t="s">
        <v>643</v>
      </c>
      <c r="E37" s="49">
        <v>0</v>
      </c>
      <c r="F37" s="49"/>
      <c r="G37" s="51" t="s">
        <v>646</v>
      </c>
      <c r="H37" t="str">
        <f t="shared" si="0"/>
        <v>INSERT INTO COMM_CONFIG(SYSTEM_KEY,SYSTEM_VALUE,SYSTEM_DESC,DEL_FLG,CRT_ID,CRT_TIME,UPD_ID,UPD_TIME,ACT_ID,ACT_TIME,VER) VALUES('api.url.printOrder','http://bms.xianchida.com/print-server/print/pdf/order/PDF000001','打印订单详细信息接口地址','0', 'admin', now(), 'admin', now(), 'admin', now(), 1);</v>
      </c>
    </row>
    <row r="38" spans="2:8">
      <c r="B38" s="49" t="s">
        <v>709</v>
      </c>
      <c r="C38" s="57" t="s">
        <v>707</v>
      </c>
      <c r="D38" s="58" t="s">
        <v>814</v>
      </c>
      <c r="E38" s="49">
        <v>0</v>
      </c>
      <c r="F38" s="49" t="s">
        <v>710</v>
      </c>
      <c r="G38" s="51" t="s">
        <v>711</v>
      </c>
      <c r="H38" t="str">
        <f t="shared" si="0"/>
        <v>INSERT INTO COMM_CONFIG(SYSTEM_KEY,SYSTEM_VALUE,SYSTEM_DESC,DEL_FLG,CRT_ID,CRT_TIME,UPD_ID,UPD_TIME,ACT_ID,ACT_TIME,VER) VALUES('temp.file.localpath','/xcdhome/temp','临时文件目录','0', 'admin', now(), 'admin', now(), 'admin', now(), 1);</v>
      </c>
    </row>
    <row r="39" spans="2:8">
      <c r="B39" s="49" t="s">
        <v>763</v>
      </c>
      <c r="C39" s="57" t="s">
        <v>837</v>
      </c>
      <c r="D39" s="58" t="s">
        <v>766</v>
      </c>
      <c r="E39" s="49">
        <v>0</v>
      </c>
      <c r="F39" s="49" t="s">
        <v>768</v>
      </c>
      <c r="G39" s="51" t="s">
        <v>769</v>
      </c>
      <c r="H39" t="str">
        <f t="shared" si="0"/>
        <v>INSERT INTO COMM_CONFIG(SYSTEM_KEY,SYSTEM_VALUE,SYSTEM_DESC,DEL_FLG,CRT_ID,CRT_TIME,UPD_ID,UPD_TIME,ACT_ID,ACT_TIME,VER) VALUES('api.url.sellerCharging','http://10.20.10.100/bms-so-cp/api/cp/sellerCharging','卖家计费项接口地址','0', 'admin', now(), 'admin', now(), 'admin', now(), 1);</v>
      </c>
    </row>
    <row r="40" spans="2:8">
      <c r="B40" s="49" t="s">
        <v>764</v>
      </c>
      <c r="C40" s="57" t="s">
        <v>838</v>
      </c>
      <c r="D40" s="58" t="s">
        <v>767</v>
      </c>
      <c r="E40" s="49">
        <v>0</v>
      </c>
      <c r="F40" s="49" t="s">
        <v>768</v>
      </c>
      <c r="G40" s="51" t="s">
        <v>769</v>
      </c>
      <c r="H40" t="str">
        <f t="shared" si="0"/>
        <v>INSERT INTO COMM_CONFIG(SYSTEM_KEY,SYSTEM_VALUE,SYSTEM_DESC,DEL_FLG,CRT_ID,CRT_TIME,UPD_ID,UPD_TIME,ACT_ID,ACT_TIME,VER) VALUES('api.url.transaction','http://10.20.10.100/bms-so-cp/api/cp/transaction','交易明细接口地址','0', 'admin', now(), 'admin', now(), 'admin', now(), 1);</v>
      </c>
    </row>
    <row r="41" spans="2:8">
      <c r="B41" s="49" t="s">
        <v>772</v>
      </c>
      <c r="C41" s="57" t="s">
        <v>839</v>
      </c>
      <c r="D41" s="58" t="s">
        <v>823</v>
      </c>
      <c r="E41" s="49">
        <v>0</v>
      </c>
      <c r="F41" s="49" t="s">
        <v>774</v>
      </c>
      <c r="G41" s="51" t="s">
        <v>773</v>
      </c>
      <c r="H41" t="str">
        <f t="shared" si="0"/>
        <v>INSERT INTO COMM_CONFIG(SYSTEM_KEY,SYSTEM_VALUE,SYSTEM_DESC,DEL_FLG,CRT_ID,CRT_TIME,UPD_ID,UPD_TIME,ACT_ID,ACT_TIME,VER) VALUES('seller.server','http://10.20.10.100/bms-seller','卖家系统地址','0', 'admin', now(), 'admin', now(), 'admin', now(), 1);</v>
      </c>
    </row>
    <row r="42" spans="2:8">
      <c r="B42" s="49" t="s">
        <v>778</v>
      </c>
      <c r="C42" s="50" t="s">
        <v>865</v>
      </c>
      <c r="D42" s="51" t="s">
        <v>780</v>
      </c>
      <c r="E42" s="49">
        <v>0</v>
      </c>
      <c r="F42" s="49" t="s">
        <v>781</v>
      </c>
      <c r="G42" s="51" t="s">
        <v>780</v>
      </c>
      <c r="H42" t="str">
        <f t="shared" si="0"/>
        <v>INSERT INTO COMM_CONFIG(SYSTEM_KEY,SYSTEM_VALUE,SYSTEM_DESC,DEL_FLG,CRT_ID,CRT_TIME,UPD_ID,UPD_TIME,ACT_ID,ACT_TIME,VER) VALUES('org.server','http://10.20.10.100/org-server','org-server地址','0', 'admin', now(), 'admin', now(), 'admin', now(), 1);</v>
      </c>
    </row>
    <row r="43" spans="2:8">
      <c r="B43" s="49" t="s">
        <v>851</v>
      </c>
      <c r="C43" s="50" t="s">
        <v>857</v>
      </c>
      <c r="D43" s="51" t="s">
        <v>853</v>
      </c>
      <c r="E43" s="49">
        <v>0</v>
      </c>
      <c r="F43" s="49" t="s">
        <v>854</v>
      </c>
      <c r="G43" s="51" t="s">
        <v>853</v>
      </c>
      <c r="H43" t="str">
        <f t="shared" si="0"/>
        <v>INSERT INTO COMM_CONFIG(SYSTEM_KEY,SYSTEM_VALUE,SYSTEM_DESC,DEL_FLG,CRT_ID,CRT_TIME,UPD_ID,UPD_TIME,ACT_ID,ACT_TIME,VER) VALUES('api.url.printDs','http://bms.xianchida.com/print-server/print/pdf/ds/','打印发货入库单详细信息接口地址','0', 'admin', now(), 'admin', now(), 'admin', now(), 1);</v>
      </c>
    </row>
    <row r="44" spans="2:8">
      <c r="B44" s="49" t="s">
        <v>858</v>
      </c>
      <c r="C44" s="50" t="s">
        <v>866</v>
      </c>
      <c r="D44" s="51" t="s">
        <v>860</v>
      </c>
      <c r="E44" s="49">
        <v>0</v>
      </c>
      <c r="F44" s="49" t="s">
        <v>854</v>
      </c>
      <c r="G44" s="51" t="s">
        <v>860</v>
      </c>
      <c r="H44" t="str">
        <f t="shared" si="0"/>
        <v>INSERT INTO COMM_CONFIG(SYSTEM_KEY,SYSTEM_VALUE,SYSTEM_DESC,DEL_FLG,CRT_ID,CRT_TIME,UPD_ID,UPD_TIME,ACT_ID,ACT_TIME,VER) VALUES('api.url.searchPrintDelivery','http://10.20.10.100/bms/api/v1/deliveryDetail/pdf/print','查询打印发货入库单详细信息接口地址','0', 'admin', now(), 'admin', now(), 'admin', now(), 1);</v>
      </c>
    </row>
    <row r="45" spans="2:8">
      <c r="B45" s="49" t="s">
        <v>869</v>
      </c>
      <c r="C45" s="50" t="s">
        <v>883</v>
      </c>
      <c r="D45" s="51" t="s">
        <v>874</v>
      </c>
      <c r="E45" s="49">
        <v>0</v>
      </c>
      <c r="F45" s="49" t="s">
        <v>877</v>
      </c>
      <c r="G45" s="51" t="s">
        <v>873</v>
      </c>
      <c r="H45" t="str">
        <f t="shared" si="0"/>
        <v>INSERT INTO COMM_CONFIG(SYSTEM_KEY,SYSTEM_VALUE,SYSTEM_DESC,DEL_FLG,CRT_ID,CRT_TIME,UPD_ID,UPD_TIME,ACT_ID,ACT_TIME,VER) VALUES('api.url.getBuyerCode','http://10.20.10.100/bms-buyers/api/by/buyerCodeWithRingCode/query','查询(环标码)买家编码接口','0', 'admin', now(), 'admin', now(), 'admin', now(), 1);</v>
      </c>
    </row>
    <row r="46" spans="2:8">
      <c r="B46" s="49" t="s">
        <v>870</v>
      </c>
      <c r="C46" s="50" t="s">
        <v>882</v>
      </c>
      <c r="D46" s="51" t="s">
        <v>876</v>
      </c>
      <c r="E46" s="49">
        <v>0</v>
      </c>
      <c r="F46" s="49" t="s">
        <v>877</v>
      </c>
      <c r="G46" s="51" t="s">
        <v>875</v>
      </c>
      <c r="H46" t="str">
        <f t="shared" si="0"/>
        <v>INSERT INTO COMM_CONFIG(SYSTEM_KEY,SYSTEM_VALUE,SYSTEM_DESC,DEL_FLG,CRT_ID,CRT_TIME,UPD_ID,UPD_TIME,ACT_ID,ACT_TIME,VER) VALUES('api.url.getBuyerId','http://10.20.10.100/bms-buyers/api/by/buyerId/queryByBuyerCode','通过买家编码查询买家ID','0', 'admin', now(), 'admin', now(), 'admin', now(), 1);</v>
      </c>
    </row>
    <row r="47" spans="2:8">
      <c r="B47" s="49" t="s">
        <v>899</v>
      </c>
      <c r="C47" s="50" t="s">
        <v>905</v>
      </c>
      <c r="D47" s="51" t="s">
        <v>900</v>
      </c>
      <c r="E47" s="49">
        <v>0</v>
      </c>
      <c r="F47" s="49" t="s">
        <v>710</v>
      </c>
      <c r="G47" s="51" t="s">
        <v>901</v>
      </c>
      <c r="H47" t="str">
        <f t="shared" si="0"/>
        <v>INSERT INTO COMM_CONFIG(SYSTEM_KEY,SYSTEM_VALUE,SYSTEM_DESC,DEL_FLG,CRT_ID,CRT_TIME,UPD_ID,UPD_TIME,ACT_ID,ACT_TIME,VER) VALUES('favorites.url','http://10.20.10.100/favorites-server','收藏夹地址','0', 'admin', now(), 'admin', now(), 'admin', now(), 1);</v>
      </c>
    </row>
    <row r="48" spans="2:8">
      <c r="B48" s="49" t="s">
        <v>906</v>
      </c>
      <c r="C48" s="63" t="s">
        <v>910</v>
      </c>
      <c r="D48" s="51" t="s">
        <v>907</v>
      </c>
      <c r="E48" s="49">
        <v>0</v>
      </c>
      <c r="F48" s="49" t="s">
        <v>710</v>
      </c>
      <c r="G48" s="51" t="s">
        <v>914</v>
      </c>
      <c r="H48" t="str">
        <f t="shared" si="0"/>
        <v>INSERT INTO COMM_CONFIG(SYSTEM_KEY,SYSTEM_VALUE,SYSTEM_DESC,DEL_FLG,CRT_ID,CRT_TIME,UPD_ID,UPD_TIME,ACT_ID,ACT_TIME,VER) VALUES('isCheckPasswordTimeSeries.flag','false','密码是否会过期开关','0', 'admin', now(), 'admin', now(), 'admin', now(), 1);</v>
      </c>
    </row>
    <row r="49" spans="2:8">
      <c r="B49" s="49" t="s">
        <v>908</v>
      </c>
      <c r="C49" s="63" t="s">
        <v>910</v>
      </c>
      <c r="D49" s="51" t="s">
        <v>912</v>
      </c>
      <c r="E49" s="49">
        <v>0</v>
      </c>
      <c r="F49" s="49" t="s">
        <v>710</v>
      </c>
      <c r="G49" s="51" t="s">
        <v>914</v>
      </c>
      <c r="H49" t="str">
        <f t="shared" si="0"/>
        <v>INSERT INTO COMM_CONFIG(SYSTEM_KEY,SYSTEM_VALUE,SYSTEM_DESC,DEL_FLG,CRT_ID,CRT_TIME,UPD_ID,UPD_TIME,ACT_ID,ACT_TIME,VER) VALUES('isForceModifyPassword.flag','false','是否强制修改密码','0', 'admin', now(), 'admin', now(), 'admin', now(), 1);</v>
      </c>
    </row>
    <row r="50" spans="2:8">
      <c r="B50" s="49" t="s">
        <v>909</v>
      </c>
      <c r="C50" s="63" t="s">
        <v>911</v>
      </c>
      <c r="D50" s="51" t="s">
        <v>913</v>
      </c>
      <c r="E50" s="49">
        <v>0</v>
      </c>
      <c r="F50" s="49" t="s">
        <v>710</v>
      </c>
      <c r="G50" s="51" t="s">
        <v>914</v>
      </c>
      <c r="H50" t="str">
        <f t="shared" si="0"/>
        <v>INSERT INTO COMM_CONFIG(SYSTEM_KEY,SYSTEM_VALUE,SYSTEM_DESC,DEL_FLG,CRT_ID,CRT_TIME,UPD_ID,UPD_TIME,ACT_ID,ACT_TIME,VER) VALUES('isInitPassword.flag','true','是否初始化密码开关','0', 'admin', now(), 'admin', now(), 'admin', now(), 1);</v>
      </c>
    </row>
    <row r="51" spans="2:8">
      <c r="B51" s="49" t="s">
        <v>938</v>
      </c>
      <c r="C51" s="50" t="s">
        <v>945</v>
      </c>
      <c r="D51" s="51" t="s">
        <v>940</v>
      </c>
      <c r="E51" s="49">
        <v>0</v>
      </c>
      <c r="F51" s="49" t="s">
        <v>942</v>
      </c>
      <c r="G51" s="51" t="s">
        <v>940</v>
      </c>
      <c r="H51" t="str">
        <f t="shared" si="0"/>
        <v>INSERT INTO COMM_CONFIG(SYSTEM_KEY,SYSTEM_VALUE,SYSTEM_DESC,DEL_FLG,CRT_ID,CRT_TIME,UPD_ID,UPD_TIME,ACT_ID,ACT_TIME,VER) VALUES('api.url.getPriceWay','http://10.20.10.100/bms-snk-price/api/pd/getPriceWayList','获得价盘通道信息接口','0', 'admin', now(), 'admin', now(), 'admin', now(), 1);</v>
      </c>
    </row>
    <row r="52" spans="2:8">
      <c r="B52" s="82" t="s">
        <v>1440</v>
      </c>
      <c r="C52" s="87" t="s">
        <v>1468</v>
      </c>
      <c r="D52" s="83" t="s">
        <v>1442</v>
      </c>
      <c r="E52" s="82">
        <v>0</v>
      </c>
      <c r="F52" s="82" t="s">
        <v>1443</v>
      </c>
      <c r="G52" s="83" t="s">
        <v>1444</v>
      </c>
      <c r="H52" t="str">
        <f t="shared" si="0"/>
        <v>INSERT INTO COMM_CONFIG(SYSTEM_KEY,SYSTEM_VALUE,SYSTEM_DESC,DEL_FLG,CRT_ID,CRT_TIME,UPD_ID,UPD_TIME,ACT_ID,ACT_TIME,VER) VALUES('mail.from','root@xianchida.com','邮件发送人','0', 'admin', now(), 'admin', now(), 'admin', now(), 1);</v>
      </c>
    </row>
    <row r="53" spans="2:8">
      <c r="B53" s="82" t="s">
        <v>1445</v>
      </c>
      <c r="C53" s="87" t="s">
        <v>1471</v>
      </c>
      <c r="D53" s="83" t="s">
        <v>1447</v>
      </c>
      <c r="E53" s="82">
        <v>0</v>
      </c>
      <c r="F53" s="82" t="s">
        <v>1443</v>
      </c>
      <c r="G53" s="83" t="s">
        <v>1444</v>
      </c>
      <c r="H53" t="str">
        <f t="shared" si="0"/>
        <v>INSERT INTO COMM_CONFIG(SYSTEM_KEY,SYSTEM_VALUE,SYSTEM_DESC,DEL_FLG,CRT_ID,CRT_TIME,UPD_ID,UPD_TIME,ACT_ID,ACT_TIME,VER) VALUES('mail.host','10.20.10.100','邮箱服务器','0', 'admin', now(), 'admin', now(), 'admin', now(), 1);</v>
      </c>
    </row>
    <row r="54" spans="2:8">
      <c r="B54" s="82" t="s">
        <v>1459</v>
      </c>
      <c r="C54" s="87" t="s">
        <v>1469</v>
      </c>
      <c r="D54" s="83" t="s">
        <v>1461</v>
      </c>
      <c r="E54" s="82">
        <v>0</v>
      </c>
      <c r="F54" s="82" t="s">
        <v>1443</v>
      </c>
      <c r="G54" s="83" t="s">
        <v>1444</v>
      </c>
      <c r="H54" t="str">
        <f t="shared" si="0"/>
        <v>INSERT INTO COMM_CONFIG(SYSTEM_KEY,SYSTEM_VALUE,SYSTEM_DESC,DEL_FLG,CRT_ID,CRT_TIME,UPD_ID,UPD_TIME,ACT_ID,ACT_TIME,VER) VALUES('mail.username','root@xianchida.com','邮箱登录名','0', 'admin', now(), 'admin', now(), 'admin', now(), 1);</v>
      </c>
    </row>
    <row r="55" spans="2:8">
      <c r="B55" s="82" t="s">
        <v>1448</v>
      </c>
      <c r="C55" s="87">
        <v>123456</v>
      </c>
      <c r="D55" s="83" t="s">
        <v>1450</v>
      </c>
      <c r="E55" s="82">
        <v>0</v>
      </c>
      <c r="F55" s="82" t="s">
        <v>1443</v>
      </c>
      <c r="G55" s="83" t="s">
        <v>1444</v>
      </c>
      <c r="H55" t="str">
        <f t="shared" si="0"/>
        <v>INSERT INTO COMM_CONFIG(SYSTEM_KEY,SYSTEM_VALUE,SYSTEM_DESC,DEL_FLG,CRT_ID,CRT_TIME,UPD_ID,UPD_TIME,ACT_ID,ACT_TIME,VER) VALUES('mail.password','123456','邮箱登录名的密码','0', 'admin', now(), 'admin', now(), 'admin', now(), 1);</v>
      </c>
    </row>
    <row r="56" spans="2:8">
      <c r="B56" s="82" t="s">
        <v>1451</v>
      </c>
      <c r="C56" s="87">
        <v>25</v>
      </c>
      <c r="D56" s="83" t="s">
        <v>1452</v>
      </c>
      <c r="E56" s="82">
        <v>0</v>
      </c>
      <c r="F56" s="82" t="s">
        <v>1443</v>
      </c>
      <c r="G56" s="83" t="s">
        <v>1444</v>
      </c>
      <c r="H56" t="str">
        <f t="shared" si="0"/>
        <v>INSERT INTO COMM_CONFIG(SYSTEM_KEY,SYSTEM_VALUE,SYSTEM_DESC,DEL_FLG,CRT_ID,CRT_TIME,UPD_ID,UPD_TIME,ACT_ID,ACT_TIME,VER) VALUES('mail.port','25','邮箱服务器端口','0', 'admin', now(), 'admin', now(), 'admin', now(), 1);</v>
      </c>
    </row>
    <row r="57" spans="2:8">
      <c r="B57" s="82" t="s">
        <v>1453</v>
      </c>
      <c r="C57" s="87"/>
      <c r="D57" s="83" t="s">
        <v>1455</v>
      </c>
      <c r="E57" s="82">
        <v>0</v>
      </c>
      <c r="F57" s="82" t="s">
        <v>1443</v>
      </c>
      <c r="G57" s="83" t="s">
        <v>1444</v>
      </c>
      <c r="H57" t="str">
        <f t="shared" si="0"/>
        <v>INSERT INTO COMM_CONFIG(SYSTEM_KEY,SYSTEM_VALUE,SYSTEM_DESC,DEL_FLG,CRT_ID,CRT_TIME,UPD_ID,UPD_TIME,ACT_ID,ACT_TIME,VER) VALUES('mail.proxyHost',NULL,'代理服务器','0', 'admin', now(), 'admin', now(), 'admin', now(), 1);</v>
      </c>
    </row>
    <row r="58" spans="2:8">
      <c r="B58" s="82" t="s">
        <v>1454</v>
      </c>
      <c r="C58" s="87"/>
      <c r="D58" s="83" t="s">
        <v>1456</v>
      </c>
      <c r="E58" s="82">
        <v>0</v>
      </c>
      <c r="F58" s="82" t="s">
        <v>1443</v>
      </c>
      <c r="G58" s="83" t="s">
        <v>1444</v>
      </c>
      <c r="H58" t="str">
        <f t="shared" si="0"/>
        <v>INSERT INTO COMM_CONFIG(SYSTEM_KEY,SYSTEM_VALUE,SYSTEM_DESC,DEL_FLG,CRT_ID,CRT_TIME,UPD_ID,UPD_TIME,ACT_ID,ACT_TIME,VER) VALUES('mail.proxyPort',NULL,'代理服务器端口','0', 'admin', now(), 'admin', now(), 'admin', now(), 1);</v>
      </c>
    </row>
    <row r="59" spans="2:8">
      <c r="B59" s="82" t="s">
        <v>1457</v>
      </c>
      <c r="C59" s="87" t="s">
        <v>1472</v>
      </c>
      <c r="D59" s="83" t="s">
        <v>1463</v>
      </c>
      <c r="E59" s="82">
        <v>0</v>
      </c>
      <c r="F59" s="82" t="s">
        <v>1443</v>
      </c>
      <c r="G59" s="83" t="s">
        <v>1444</v>
      </c>
      <c r="H59" t="str">
        <f t="shared" si="0"/>
        <v>INSERT INTO COMM_CONFIG(SYSTEM_KEY,SYSTEM_VALUE,SYSTEM_DESC,DEL_FLG,CRT_ID,CRT_TIME,UPD_ID,UPD_TIME,ACT_ID,ACT_TIME,VER) VALUES('mail.sender','oms-admin','邮箱发送人名称','0', 'admin', now(), 'admin', now(), 'admin', now(), 1);</v>
      </c>
    </row>
    <row r="60" spans="2:8">
      <c r="B60" s="82" t="s">
        <v>1458</v>
      </c>
      <c r="C60" s="87" t="b">
        <v>0</v>
      </c>
      <c r="D60" s="83" t="s">
        <v>1464</v>
      </c>
      <c r="E60" s="82">
        <v>0</v>
      </c>
      <c r="F60" s="82" t="s">
        <v>1443</v>
      </c>
      <c r="G60" s="83" t="s">
        <v>1444</v>
      </c>
      <c r="H60" t="str">
        <f t="shared" si="0"/>
        <v>INSERT INTO COMM_CONFIG(SYSTEM_KEY,SYSTEM_VALUE,SYSTEM_DESC,DEL_FLG,CRT_ID,CRT_TIME,UPD_ID,UPD_TIME,ACT_ID,ACT_TIME,VER) VALUES('mail.ssl','FALSE','是否启动ssl','0', 'admin', now(), 'admin', now(), 'admin', now(), 1);</v>
      </c>
    </row>
    <row r="61" spans="2:8">
      <c r="B61" s="13" t="s">
        <v>49</v>
      </c>
      <c r="C61" s="8"/>
      <c r="D61" s="11"/>
      <c r="E61" s="11"/>
      <c r="F61" s="11"/>
      <c r="G61" s="11"/>
    </row>
    <row r="62" spans="2:8">
      <c r="B62" s="11"/>
      <c r="C62" s="11"/>
      <c r="D62" s="11"/>
      <c r="E62" s="11"/>
      <c r="F62" s="11"/>
      <c r="G62" s="11"/>
    </row>
    <row r="63" spans="2:8">
      <c r="B63" s="11"/>
      <c r="C63" s="11"/>
      <c r="D63" s="11"/>
      <c r="E63" s="11"/>
      <c r="F63" s="11"/>
      <c r="G63" s="11"/>
    </row>
    <row r="64" spans="2:8">
      <c r="B64" s="11"/>
      <c r="C64" s="11"/>
      <c r="D64" s="11"/>
      <c r="E64" s="11"/>
      <c r="F64" s="11"/>
      <c r="G64" s="11"/>
    </row>
    <row r="65" spans="2:7">
      <c r="B65" s="11"/>
      <c r="C65" s="11"/>
      <c r="D65" s="11"/>
      <c r="E65" s="11"/>
      <c r="F65" s="11"/>
      <c r="G65" s="11"/>
    </row>
  </sheetData>
  <phoneticPr fontId="14" type="noConversion"/>
  <hyperlinks>
    <hyperlink ref="B12" r:id="rId1"/>
    <hyperlink ref="B13" r:id="rId2"/>
    <hyperlink ref="B14" r:id="rId3"/>
    <hyperlink ref="B16" r:id="rId4"/>
    <hyperlink ref="C27" r:id="rId5"/>
    <hyperlink ref="C28" r:id="rId6"/>
    <hyperlink ref="C34" r:id="rId7"/>
  </hyperlinks>
  <pageMargins left="0.69930555555555596" right="0.69930555555555596" top="0.75" bottom="0.75" header="0.3" footer="0.3"/>
  <pageSetup paperSize="9" orientation="portrait"/>
  <legacyDrawing r:id="rId8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21"/>
  <sheetViews>
    <sheetView workbookViewId="0">
      <selection activeCell="H4" sqref="H4:H16"/>
    </sheetView>
  </sheetViews>
  <sheetFormatPr defaultColWidth="9" defaultRowHeight="13.5"/>
  <cols>
    <col min="1" max="1" width="1.875" customWidth="1"/>
    <col min="2" max="2" width="19.875" customWidth="1"/>
    <col min="3" max="3" width="44.625" customWidth="1"/>
    <col min="4" max="4" width="29.625" customWidth="1"/>
    <col min="5" max="5" width="12" customWidth="1"/>
    <col min="6" max="6" width="13.125" customWidth="1"/>
    <col min="7" max="7" width="36" customWidth="1"/>
  </cols>
  <sheetData>
    <row r="1" spans="2:8">
      <c r="B1" s="2" t="s">
        <v>638</v>
      </c>
      <c r="C1" s="54" t="s">
        <v>609</v>
      </c>
      <c r="D1" s="4" t="s">
        <v>7</v>
      </c>
    </row>
    <row r="2" spans="2:8" s="1" customFormat="1" ht="12" customHeight="1">
      <c r="B2" s="5" t="s">
        <v>482</v>
      </c>
      <c r="C2" s="5" t="s">
        <v>483</v>
      </c>
      <c r="D2" s="5" t="s">
        <v>42</v>
      </c>
      <c r="E2" s="5" t="s">
        <v>36</v>
      </c>
      <c r="F2" s="6" t="s">
        <v>62</v>
      </c>
      <c r="G2" s="6" t="s">
        <v>63</v>
      </c>
    </row>
    <row r="3" spans="2:8" s="1" customFormat="1" ht="12" customHeight="1">
      <c r="B3" s="5" t="s">
        <v>610</v>
      </c>
      <c r="C3" s="5" t="s">
        <v>611</v>
      </c>
      <c r="D3" s="5" t="s">
        <v>612</v>
      </c>
      <c r="E3" s="5" t="s">
        <v>37</v>
      </c>
      <c r="F3" s="6"/>
      <c r="G3" s="6"/>
    </row>
    <row r="4" spans="2:8" s="1" customFormat="1" ht="12" customHeight="1">
      <c r="B4" s="7" t="s">
        <v>38</v>
      </c>
      <c r="C4" s="7"/>
      <c r="D4" s="7"/>
      <c r="E4" s="7"/>
      <c r="F4" s="7"/>
      <c r="G4" s="7"/>
      <c r="H4" s="1" t="s">
        <v>613</v>
      </c>
    </row>
    <row r="5" spans="2:8">
      <c r="B5" s="8" t="s">
        <v>614</v>
      </c>
      <c r="C5" s="8" t="s">
        <v>626</v>
      </c>
      <c r="D5" s="8">
        <v>1</v>
      </c>
      <c r="E5" s="8">
        <v>0</v>
      </c>
      <c r="F5" s="8"/>
      <c r="G5" s="9"/>
      <c r="H5" t="str">
        <f>"INSERT INTO BATCH_DEFINITION("&amp;$B$3&amp;","&amp;$C$3&amp;","&amp;$D$3&amp;","&amp;$E$3&amp;",CRT_ID,CRT_TIME,UPD_ID,UPD_TIME,ACT_ID,ACT_TIME,VER) VALUES("&amp;IF(B5="","NULL","'"&amp;B5&amp;"'")&amp;","&amp;IF(C5="","NULL","'"&amp;C5&amp;"'")&amp;","&amp;IF(D5="","NULL","'"&amp;D5&amp;"'")&amp;","&amp;IF(E5="","NULL","'"&amp;E5&amp;"'")&amp;", 'admin', now(), 'admin', now(), 'admin', now(), 1);"</f>
        <v>INSERT INTO BATCH_DEFINITION(BATCH_CODE,BATCH_NAME,RUN_FREQUENCY,DEL_FLG,CRT_ID,CRT_TIME,UPD_ID,UPD_TIME,ACT_ID,ACT_TIME,VER) VALUES('BBP112213','美侍客卖家产品价盘生成批处理','1','0', 'admin', now(), 'admin', now(), 'admin', now(), 1);</v>
      </c>
    </row>
    <row r="6" spans="2:8">
      <c r="B6" s="8" t="s">
        <v>615</v>
      </c>
      <c r="C6" s="8" t="s">
        <v>627</v>
      </c>
      <c r="D6" s="8">
        <v>1</v>
      </c>
      <c r="E6" s="8">
        <v>0</v>
      </c>
      <c r="F6" s="8"/>
      <c r="G6" s="10"/>
      <c r="H6" t="str">
        <f t="shared" ref="H6:H16" si="0">"INSERT INTO BATCH_DEFINITION("&amp;$B$3&amp;","&amp;$C$3&amp;","&amp;$D$3&amp;","&amp;$E$3&amp;",CRT_ID,CRT_TIME,UPD_ID,UPD_TIME,ACT_ID,ACT_TIME,VER) VALUES("&amp;IF(B6="","NULL","'"&amp;B6&amp;"'")&amp;","&amp;IF(C6="","NULL","'"&amp;C6&amp;"'")&amp;","&amp;IF(D6="","NULL","'"&amp;D6&amp;"'")&amp;","&amp;IF(E6="","NULL","'"&amp;E6&amp;"'")&amp;", 'admin', now(), 'admin', now(), 'admin', now(), 1);"</f>
        <v>INSERT INTO BATCH_DEFINITION(BATCH_CODE,BATCH_NAME,RUN_FREQUENCY,DEL_FLG,CRT_ID,CRT_TIME,UPD_ID,UPD_TIME,ACT_ID,ACT_TIME,VER) VALUES('BBS1101101','到期冻品管家的买家处理Batch','1','0', 'admin', now(), 'admin', now(), 'admin', now(), 1);</v>
      </c>
    </row>
    <row r="7" spans="2:8">
      <c r="B7" s="8" t="s">
        <v>616</v>
      </c>
      <c r="C7" s="8" t="s">
        <v>628</v>
      </c>
      <c r="D7" s="8">
        <v>1</v>
      </c>
      <c r="E7" s="8">
        <v>0</v>
      </c>
      <c r="F7" s="8"/>
      <c r="G7" s="9"/>
      <c r="H7" t="str">
        <f t="shared" si="0"/>
        <v>INSERT INTO BATCH_DEFINITION(BATCH_CODE,BATCH_NAME,RUN_FREQUENCY,DEL_FLG,CRT_ID,CRT_TIME,UPD_ID,UPD_TIME,ACT_ID,ACT_TIME,VER) VALUES('BPD141101','分销价盘同步Batch','1','0', 'admin', now(), 'admin', now(), 'admin', now(), 1);</v>
      </c>
    </row>
    <row r="8" spans="2:8">
      <c r="B8" s="8" t="s">
        <v>617</v>
      </c>
      <c r="C8" s="8" t="s">
        <v>629</v>
      </c>
      <c r="D8" s="8">
        <v>1</v>
      </c>
      <c r="E8" s="8">
        <v>0</v>
      </c>
      <c r="F8" s="8"/>
      <c r="G8" s="8"/>
      <c r="H8" t="str">
        <f t="shared" si="0"/>
        <v>INSERT INTO BATCH_DEFINITION(BATCH_CODE,BATCH_NAME,RUN_FREQUENCY,DEL_FLG,CRT_ID,CRT_TIME,UPD_ID,UPD_TIME,ACT_ID,ACT_TIME,VER) VALUES('BPD141102','订单等级通道同步batch','1','0', 'admin', now(), 'admin', now(), 'admin', now(), 1);</v>
      </c>
    </row>
    <row r="9" spans="2:8">
      <c r="B9" s="8" t="s">
        <v>618</v>
      </c>
      <c r="C9" s="8" t="s">
        <v>630</v>
      </c>
      <c r="D9" s="8">
        <v>1</v>
      </c>
      <c r="E9" s="8">
        <v>0</v>
      </c>
      <c r="F9" s="8"/>
      <c r="G9" s="8"/>
      <c r="H9" t="str">
        <f t="shared" si="0"/>
        <v>INSERT INTO BATCH_DEFINITION(BATCH_CODE,BATCH_NAME,RUN_FREQUENCY,DEL_FLG,CRT_ID,CRT_TIME,UPD_ID,UPD_TIME,ACT_ID,ACT_TIME,VER) VALUES('BSO152401','销售排行Batch','1','0', 'admin', now(), 'admin', now(), 'admin', now(), 1);</v>
      </c>
    </row>
    <row r="10" spans="2:8">
      <c r="B10" s="11" t="s">
        <v>619</v>
      </c>
      <c r="C10" s="8" t="s">
        <v>631</v>
      </c>
      <c r="D10" s="8">
        <v>1</v>
      </c>
      <c r="E10" s="8">
        <v>0</v>
      </c>
      <c r="F10" s="11"/>
      <c r="G10" s="11"/>
      <c r="H10" t="str">
        <f t="shared" si="0"/>
        <v>INSERT INTO BATCH_DEFINITION(BATCH_CODE,BATCH_NAME,RUN_FREQUENCY,DEL_FLG,CRT_ID,CRT_TIME,UPD_ID,UPD_TIME,ACT_ID,ACT_TIME,VER) VALUES('BSO152402','分单Batch','1','0', 'admin', now(), 'admin', now(), 'admin', now(), 1);</v>
      </c>
    </row>
    <row r="11" spans="2:8">
      <c r="B11" s="11" t="s">
        <v>620</v>
      </c>
      <c r="C11" s="8" t="s">
        <v>632</v>
      </c>
      <c r="D11" s="8">
        <v>1</v>
      </c>
      <c r="E11" s="8">
        <v>0</v>
      </c>
      <c r="F11" s="11"/>
      <c r="G11" s="11"/>
      <c r="H11" t="str">
        <f t="shared" si="0"/>
        <v>INSERT INTO BATCH_DEFINITION(BATCH_CODE,BATCH_NAME,RUN_FREQUENCY,DEL_FLG,CRT_ID,CRT_TIME,UPD_ID,UPD_TIME,ACT_ID,ACT_TIME,VER) VALUES('BSO152403','WMS 配送单生成XMLBatch','1','0', 'admin', now(), 'admin', now(), 'admin', now(), 1);</v>
      </c>
    </row>
    <row r="12" spans="2:8">
      <c r="B12" s="11" t="s">
        <v>621</v>
      </c>
      <c r="C12" s="8" t="s">
        <v>633</v>
      </c>
      <c r="D12" s="8">
        <v>1</v>
      </c>
      <c r="E12" s="8">
        <v>0</v>
      </c>
      <c r="F12" s="11"/>
      <c r="G12" s="11"/>
      <c r="H12" t="str">
        <f t="shared" si="0"/>
        <v>INSERT INTO BATCH_DEFINITION(BATCH_CODE,BATCH_NAME,RUN_FREQUENCY,DEL_FLG,CRT_ID,CRT_TIME,UPD_ID,UPD_TIME,ACT_ID,ACT_TIME,VER) VALUES('BSO152404','买手囤货订单库存调拨','1','0', 'admin', now(), 'admin', now(), 'admin', now(), 1);</v>
      </c>
    </row>
    <row r="13" spans="2:8">
      <c r="B13" s="11" t="s">
        <v>622</v>
      </c>
      <c r="C13" s="8" t="s">
        <v>634</v>
      </c>
      <c r="D13" s="8">
        <v>1</v>
      </c>
      <c r="E13" s="8">
        <v>0</v>
      </c>
      <c r="F13" s="11"/>
      <c r="G13" s="11"/>
      <c r="H13" t="str">
        <f t="shared" si="0"/>
        <v>INSERT INTO BATCH_DEFINITION(BATCH_CODE,BATCH_NAME,RUN_FREQUENCY,DEL_FLG,CRT_ID,CRT_TIME,UPD_ID,UPD_TIME,ACT_ID,ACT_TIME,VER) VALUES('BSO152405','退货单Batch生成XML','1','0', 'admin', now(), 'admin', now(), 'admin', now(), 1);</v>
      </c>
    </row>
    <row r="14" spans="2:8">
      <c r="B14" s="11" t="s">
        <v>623</v>
      </c>
      <c r="C14" s="8" t="s">
        <v>635</v>
      </c>
      <c r="D14" s="8">
        <v>1</v>
      </c>
      <c r="E14" s="8">
        <v>0</v>
      </c>
      <c r="F14" s="11"/>
      <c r="G14" s="11"/>
      <c r="H14" t="str">
        <f t="shared" si="0"/>
        <v>INSERT INTO BATCH_DEFINITION(BATCH_CODE,BATCH_NAME,RUN_FREQUENCY,DEL_FLG,CRT_ID,CRT_TIME,UPD_ID,UPD_TIME,ACT_ID,ACT_TIME,VER) VALUES('BSP171101','神龙客价盘生成Batch','1','0', 'admin', now(), 'admin', now(), 'admin', now(), 1);</v>
      </c>
    </row>
    <row r="15" spans="2:8">
      <c r="B15" s="11" t="s">
        <v>624</v>
      </c>
      <c r="C15" s="8" t="s">
        <v>636</v>
      </c>
      <c r="D15" s="8">
        <v>1</v>
      </c>
      <c r="E15" s="8">
        <v>0</v>
      </c>
      <c r="F15" s="11"/>
      <c r="G15" s="11"/>
      <c r="H15" t="str">
        <f t="shared" si="0"/>
        <v>INSERT INTO BATCH_DEFINITION(BATCH_CODE,BATCH_NAME,RUN_FREQUENCY,DEL_FLG,CRT_ID,CRT_TIME,UPD_ID,UPD_TIME,ACT_ID,ACT_TIME,VER) VALUES('BSP171102','需求预测Batch','1','0', 'admin', now(), 'admin', now(), 'admin', now(), 1);</v>
      </c>
    </row>
    <row r="16" spans="2:8">
      <c r="B16" s="11" t="s">
        <v>625</v>
      </c>
      <c r="C16" s="8" t="s">
        <v>637</v>
      </c>
      <c r="D16" s="8">
        <v>1</v>
      </c>
      <c r="E16" s="8">
        <v>0</v>
      </c>
      <c r="F16" s="11"/>
      <c r="G16" s="11"/>
      <c r="H16" t="str">
        <f t="shared" si="0"/>
        <v>INSERT INTO BATCH_DEFINITION(BATCH_CODE,BATCH_NAME,RUN_FREQUENCY,DEL_FLG,CRT_ID,CRT_TIME,UPD_ID,UPD_TIME,ACT_ID,ACT_TIME,VER) VALUES('BSP171103','物流区产品同步Batch','1','0', 'admin', now(), 'admin', now(), 'admin', now(), 1);</v>
      </c>
    </row>
    <row r="17" spans="2:7">
      <c r="B17" s="13" t="s">
        <v>49</v>
      </c>
      <c r="C17" s="8"/>
      <c r="D17" s="11"/>
      <c r="E17" s="11"/>
      <c r="F17" s="11"/>
      <c r="G17" s="11"/>
    </row>
    <row r="18" spans="2:7">
      <c r="B18" s="11"/>
      <c r="C18" s="11"/>
      <c r="D18" s="11"/>
      <c r="E18" s="11"/>
      <c r="F18" s="11"/>
      <c r="G18" s="11"/>
    </row>
    <row r="19" spans="2:7">
      <c r="B19" s="11"/>
      <c r="C19" s="11"/>
      <c r="D19" s="11"/>
      <c r="E19" s="11"/>
      <c r="F19" s="11"/>
      <c r="G19" s="11"/>
    </row>
    <row r="20" spans="2:7">
      <c r="B20" s="11"/>
      <c r="C20" s="11"/>
      <c r="D20" s="11"/>
      <c r="E20" s="11"/>
      <c r="F20" s="11"/>
      <c r="G20" s="11"/>
    </row>
    <row r="21" spans="2:7">
      <c r="B21" s="11"/>
      <c r="C21" s="11"/>
      <c r="D21" s="11"/>
      <c r="E21" s="11"/>
      <c r="F21" s="11"/>
      <c r="G21" s="11"/>
    </row>
  </sheetData>
  <phoneticPr fontId="14" type="noConversion"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B1:H65"/>
  <sheetViews>
    <sheetView zoomScale="85" zoomScaleNormal="85" zoomScalePageLayoutView="85" workbookViewId="0">
      <pane xSplit="1" ySplit="4" topLeftCell="B44" activePane="bottomRight" state="frozen"/>
      <selection pane="topRight" activeCell="B1" sqref="B1"/>
      <selection pane="bottomLeft" activeCell="A5" sqref="A5"/>
      <selection pane="bottomRight" activeCell="B61" sqref="B61"/>
    </sheetView>
  </sheetViews>
  <sheetFormatPr defaultColWidth="9" defaultRowHeight="13.5"/>
  <cols>
    <col min="1" max="1" width="1.875" customWidth="1"/>
    <col min="2" max="2" width="25.5" customWidth="1"/>
    <col min="3" max="3" width="43.5" customWidth="1"/>
    <col min="4" max="4" width="29.625" customWidth="1"/>
    <col min="5" max="5" width="12" customWidth="1"/>
    <col min="6" max="6" width="13.125" customWidth="1"/>
    <col min="7" max="7" width="36.875" customWidth="1"/>
  </cols>
  <sheetData>
    <row r="1" spans="2:8">
      <c r="B1" s="2" t="s">
        <v>35</v>
      </c>
      <c r="C1" s="3" t="s">
        <v>481</v>
      </c>
      <c r="D1" s="4" t="s">
        <v>7</v>
      </c>
    </row>
    <row r="2" spans="2:8" s="1" customFormat="1" ht="12" customHeight="1">
      <c r="B2" s="5" t="s">
        <v>482</v>
      </c>
      <c r="C2" s="5" t="s">
        <v>483</v>
      </c>
      <c r="D2" s="5" t="s">
        <v>42</v>
      </c>
      <c r="E2" s="5" t="s">
        <v>36</v>
      </c>
      <c r="F2" s="6" t="s">
        <v>62</v>
      </c>
      <c r="G2" s="6" t="s">
        <v>63</v>
      </c>
    </row>
    <row r="3" spans="2:8" s="1" customFormat="1" ht="12" customHeight="1">
      <c r="B3" s="5" t="s">
        <v>484</v>
      </c>
      <c r="C3" s="5" t="s">
        <v>485</v>
      </c>
      <c r="D3" s="5" t="s">
        <v>486</v>
      </c>
      <c r="E3" s="5" t="s">
        <v>37</v>
      </c>
      <c r="F3" s="6"/>
      <c r="G3" s="6"/>
    </row>
    <row r="4" spans="2:8" s="1" customFormat="1" ht="12" customHeight="1">
      <c r="B4" s="7" t="s">
        <v>38</v>
      </c>
      <c r="C4" s="14"/>
      <c r="D4" s="14"/>
      <c r="E4" s="7"/>
      <c r="F4" s="7"/>
      <c r="G4" s="7"/>
      <c r="H4" s="1" t="s">
        <v>487</v>
      </c>
    </row>
    <row r="5" spans="2:8">
      <c r="B5" s="8" t="s">
        <v>488</v>
      </c>
      <c r="C5" s="9" t="s">
        <v>1399</v>
      </c>
      <c r="D5" s="9" t="s">
        <v>490</v>
      </c>
      <c r="E5" s="8">
        <v>0</v>
      </c>
      <c r="F5" s="8"/>
      <c r="G5" s="9" t="s">
        <v>491</v>
      </c>
      <c r="H5" t="str">
        <f>"INSERT INTO COMM_CONFIG("&amp;$B$3&amp;","&amp;$C$3&amp;","&amp;$D$3&amp;","&amp;$E$3&amp;",CRT_ID,CRT_TIME,UPD_ID,UPD_TIME,ACT_ID,ACT_TIME,VER) VALUES("&amp;IF(B5="","NULL","'"&amp;B5&amp;"'")&amp;","&amp;IF(C5="","NULL","'"&amp;C5&amp;"'")&amp;","&amp;IF(D5="","NULL","'"&amp;D5&amp;"'")&amp;","&amp;IF(E5="","NULL","'"&amp;E5&amp;"'")&amp;", 'admin', now(), 'admin', now(), 'admin', now(), 1);"</f>
        <v>INSERT INTO COMM_CONFIG(SYSTEM_KEY,SYSTEM_VALUE,SYSTEM_DESC,DEL_FLG,CRT_ID,CRT_TIME,UPD_ID,UPD_TIME,ACT_ID,ACT_TIME,VER) VALUES('sys.env','sh_dev','系统环境区分','0', 'admin', now(), 'admin', now(), 'admin', now(), 1);</v>
      </c>
    </row>
    <row r="6" spans="2:8">
      <c r="B6" s="8" t="s">
        <v>492</v>
      </c>
      <c r="C6" s="9">
        <v>0</v>
      </c>
      <c r="D6" s="9" t="s">
        <v>493</v>
      </c>
      <c r="E6" s="8">
        <v>0</v>
      </c>
      <c r="F6" s="8"/>
      <c r="G6" s="10" t="s">
        <v>494</v>
      </c>
      <c r="H6" t="str">
        <f t="shared" ref="H6:H60" si="0">"INSERT INTO COMM_CONFIG("&amp;$B$3&amp;","&amp;$C$3&amp;","&amp;$D$3&amp;","&amp;$E$3&amp;",CRT_ID,CRT_TIME,UPD_ID,UPD_TIME,ACT_ID,ACT_TIME,VER) VALUES("&amp;IF(B6="","NULL","'"&amp;B6&amp;"'")&amp;","&amp;IF(C6="","NULL","'"&amp;C6&amp;"'")&amp;","&amp;IF(D6="","NULL","'"&amp;D6&amp;"'")&amp;","&amp;IF(E6="","NULL","'"&amp;E6&amp;"'")&amp;", 'admin', now(), 'admin', now(), 'admin', now(), 1);"</f>
        <v>INSERT INTO COMM_CONFIG(SYSTEM_KEY,SYSTEM_VALUE,SYSTEM_DESC,DEL_FLG,CRT_ID,CRT_TIME,UPD_ID,UPD_TIME,ACT_ID,ACT_TIME,VER) VALUES('sys.isDebug','0','调试开关','0', 'admin', now(), 'admin', now(), 'admin', now(), 1);</v>
      </c>
    </row>
    <row r="7" spans="2:8">
      <c r="B7" s="8" t="s">
        <v>495</v>
      </c>
      <c r="C7" s="9">
        <v>0</v>
      </c>
      <c r="D7" s="9" t="s">
        <v>496</v>
      </c>
      <c r="E7" s="8">
        <v>0</v>
      </c>
      <c r="F7" s="8"/>
      <c r="G7" s="9" t="s">
        <v>497</v>
      </c>
      <c r="H7" t="str">
        <f t="shared" si="0"/>
        <v>INSERT INTO COMM_CONFIG(SYSTEM_KEY,SYSTEM_VALUE,SYSTEM_DESC,DEL_FLG,CRT_ID,CRT_TIME,UPD_ID,UPD_TIME,ACT_ID,ACT_TIME,VER) VALUES('sys.needAuthCheck','0','权限控制开关','0', 'admin', now(), 'admin', now(), 'admin', now(), 1);</v>
      </c>
    </row>
    <row r="8" spans="2:8">
      <c r="B8" s="8" t="s">
        <v>498</v>
      </c>
      <c r="C8" s="9" t="s">
        <v>1417</v>
      </c>
      <c r="D8" s="9" t="s">
        <v>500</v>
      </c>
      <c r="E8" s="8">
        <v>0</v>
      </c>
      <c r="F8" s="8" t="s">
        <v>501</v>
      </c>
      <c r="G8" s="8"/>
      <c r="H8" t="str">
        <f t="shared" si="0"/>
        <v>INSERT INTO COMM_CONFIG(SYSTEM_KEY,SYSTEM_VALUE,SYSTEM_DESC,DEL_FLG,CRT_ID,CRT_TIME,UPD_ID,UPD_TIME,ACT_ID,ACT_TIME,VER) VALUES('SMS.URL','http://sms.api.ums86.com:8899/sms/Api/Send.do','短信API地址','0', 'admin', now(), 'admin', now(), 'admin', now(), 1);</v>
      </c>
    </row>
    <row r="9" spans="2:8">
      <c r="B9" s="8" t="s">
        <v>502</v>
      </c>
      <c r="C9" s="9">
        <v>230716</v>
      </c>
      <c r="D9" s="9" t="s">
        <v>503</v>
      </c>
      <c r="E9" s="8">
        <v>0</v>
      </c>
      <c r="F9" s="8" t="s">
        <v>501</v>
      </c>
      <c r="G9" s="8"/>
      <c r="H9" t="str">
        <f t="shared" si="0"/>
        <v>INSERT INTO COMM_CONFIG(SYSTEM_KEY,SYSTEM_VALUE,SYSTEM_DESC,DEL_FLG,CRT_ID,CRT_TIME,UPD_ID,UPD_TIME,ACT_ID,ACT_TIME,VER) VALUES('SMS.SUPPLIER','230716','短信供应商编码','0', 'admin', now(), 'admin', now(), 'admin', now(), 1);</v>
      </c>
    </row>
    <row r="10" spans="2:8">
      <c r="B10" s="11" t="s">
        <v>504</v>
      </c>
      <c r="C10" s="9" t="s">
        <v>336</v>
      </c>
      <c r="D10" s="12" t="s">
        <v>505</v>
      </c>
      <c r="E10" s="8">
        <v>0</v>
      </c>
      <c r="F10" s="11"/>
      <c r="G10" s="11"/>
      <c r="H10" t="str">
        <f t="shared" si="0"/>
        <v>INSERT INTO COMM_CONFIG(SYSTEM_KEY,SYSTEM_VALUE,SYSTEM_DESC,DEL_FLG,CRT_ID,CRT_TIME,UPD_ID,UPD_TIME,ACT_ID,ACT_TIME,VER) VALUES('SMS.USER','SNK','短信用户','0', 'admin', now(), 'admin', now(), 'admin', now(), 1);</v>
      </c>
    </row>
    <row r="11" spans="2:8">
      <c r="B11" s="11" t="s">
        <v>506</v>
      </c>
      <c r="C11" s="9" t="s">
        <v>507</v>
      </c>
      <c r="D11" s="12" t="s">
        <v>508</v>
      </c>
      <c r="E11" s="8">
        <v>0</v>
      </c>
      <c r="F11" s="11"/>
      <c r="G11" s="11"/>
      <c r="H11" t="str">
        <f t="shared" si="0"/>
        <v>INSERT INTO COMM_CONFIG(SYSTEM_KEY,SYSTEM_VALUE,SYSTEM_DESC,DEL_FLG,CRT_ID,CRT_TIME,UPD_ID,UPD_TIME,ACT_ID,ACT_TIME,VER) VALUES('SMS.PWD','shennongke123456','短信密码','0', 'admin', now(), 'admin', now(), 'admin', now(), 1);</v>
      </c>
    </row>
    <row r="12" spans="2:8">
      <c r="B12" s="11" t="s">
        <v>509</v>
      </c>
      <c r="C12" s="9" t="s">
        <v>510</v>
      </c>
      <c r="D12" s="12" t="s">
        <v>511</v>
      </c>
      <c r="E12" s="8">
        <v>0</v>
      </c>
      <c r="F12" s="11"/>
      <c r="G12" s="11"/>
      <c r="H12" t="str">
        <f t="shared" si="0"/>
        <v>INSERT INTO COMM_CONFIG(SYSTEM_KEY,SYSTEM_VALUE,SYSTEM_DESC,DEL_FLG,CRT_ID,CRT_TIME,UPD_ID,UPD_TIME,ACT_ID,ACT_TIME,VER) VALUES('ftp.ip','121.196.237.87','FTP IP','0', 'admin', now(), 'admin', now(), 'admin', now(), 1);</v>
      </c>
    </row>
    <row r="13" spans="2:8">
      <c r="B13" s="11" t="s">
        <v>512</v>
      </c>
      <c r="C13" s="9" t="s">
        <v>513</v>
      </c>
      <c r="D13" s="12" t="s">
        <v>514</v>
      </c>
      <c r="E13" s="8">
        <v>0</v>
      </c>
      <c r="F13" s="11"/>
      <c r="G13" s="11"/>
      <c r="H13" t="str">
        <f t="shared" si="0"/>
        <v>INSERT INTO COMM_CONFIG(SYSTEM_KEY,SYSTEM_VALUE,SYSTEM_DESC,DEL_FLG,CRT_ID,CRT_TIME,UPD_ID,UPD_TIME,ACT_ID,ACT_TIME,VER) VALUES('ftp.user','ftp_user','FTP User','0', 'admin', now(), 'admin', now(), 'admin', now(), 1);</v>
      </c>
    </row>
    <row r="14" spans="2:8">
      <c r="B14" s="11" t="s">
        <v>515</v>
      </c>
      <c r="C14" s="9">
        <v>123456</v>
      </c>
      <c r="D14" s="12" t="s">
        <v>516</v>
      </c>
      <c r="E14" s="8">
        <v>0</v>
      </c>
      <c r="F14" s="11"/>
      <c r="G14" s="11"/>
      <c r="H14" t="str">
        <f t="shared" si="0"/>
        <v>INSERT INTO COMM_CONFIG(SYSTEM_KEY,SYSTEM_VALUE,SYSTEM_DESC,DEL_FLG,CRT_ID,CRT_TIME,UPD_ID,UPD_TIME,ACT_ID,ACT_TIME,VER) VALUES('ftp.pwd','123456','FTP PWD','0', 'admin', now(), 'admin', now(), 'admin', now(), 1);</v>
      </c>
    </row>
    <row r="15" spans="2:8">
      <c r="B15" s="11" t="s">
        <v>517</v>
      </c>
      <c r="C15" s="9" t="s">
        <v>1400</v>
      </c>
      <c r="D15" s="12" t="s">
        <v>519</v>
      </c>
      <c r="E15" s="11">
        <v>0</v>
      </c>
      <c r="F15" s="11"/>
      <c r="G15" s="11"/>
      <c r="H15" t="str">
        <f t="shared" si="0"/>
        <v>INSERT INTO COMM_CONFIG(SYSTEM_KEY,SYSTEM_VALUE,SYSTEM_DESC,DEL_FLG,CRT_ID,CRT_TIME,UPD_ID,UPD_TIME,ACT_ID,ACT_TIME,VER) VALUES('ftp.http.url','http://t-bms.xianchida.com/msk-image','文件服务器http访问url','0', 'admin', now(), 'admin', now(), 'admin', now(), 1);</v>
      </c>
    </row>
    <row r="16" spans="2:8">
      <c r="B16" s="11" t="s">
        <v>520</v>
      </c>
      <c r="C16" s="9" t="s">
        <v>521</v>
      </c>
      <c r="D16" s="12" t="s">
        <v>522</v>
      </c>
      <c r="E16" s="8">
        <v>0</v>
      </c>
      <c r="F16" s="11"/>
      <c r="G16" s="11"/>
      <c r="H16" t="str">
        <f t="shared" si="0"/>
        <v>INSERT INTO COMM_CONFIG(SYSTEM_KEY,SYSTEM_VALUE,SYSTEM_DESC,DEL_FLG,CRT_ID,CRT_TIME,UPD_ID,UPD_TIME,ACT_ID,ACT_TIME,VER) VALUES('ftp.imageRootPath','/msk-image/','FTP 图片根目录','0', 'admin', now(), 'admin', now(), 'admin', now(), 1);</v>
      </c>
    </row>
    <row r="17" spans="2:8">
      <c r="B17" s="11" t="s">
        <v>523</v>
      </c>
      <c r="C17" s="9" t="s">
        <v>524</v>
      </c>
      <c r="D17" s="12" t="s">
        <v>525</v>
      </c>
      <c r="E17" s="8">
        <v>0</v>
      </c>
      <c r="F17" s="11"/>
      <c r="G17" s="11"/>
      <c r="H17" t="str">
        <f t="shared" si="0"/>
        <v>INSERT INTO COMM_CONFIG(SYSTEM_KEY,SYSTEM_VALUE,SYSTEM_DESC,DEL_FLG,CRT_ID,CRT_TIME,UPD_ID,UPD_TIME,ACT_ID,ACT_TIME,VER) VALUES('wms.ftp.ip','114.55.4.220','仓储物流系统FTP地址','0', 'admin', now(), 'admin', now(), 'admin', now(), 1);</v>
      </c>
    </row>
    <row r="18" spans="2:8">
      <c r="B18" s="11" t="s">
        <v>526</v>
      </c>
      <c r="C18" s="9" t="s">
        <v>527</v>
      </c>
      <c r="D18" s="12" t="s">
        <v>528</v>
      </c>
      <c r="E18" s="8">
        <v>0</v>
      </c>
      <c r="F18" s="11"/>
      <c r="G18" s="11"/>
      <c r="H18" t="str">
        <f t="shared" si="0"/>
        <v>INSERT INTO COMM_CONFIG(SYSTEM_KEY,SYSTEM_VALUE,SYSTEM_DESC,DEL_FLG,CRT_ID,CRT_TIME,UPD_ID,UPD_TIME,ACT_ID,ACT_TIME,VER) VALUES('wms.ftp.user','fuji','仓储物流系统FTP用户','0', 'admin', now(), 'admin', now(), 'admin', now(), 1);</v>
      </c>
    </row>
    <row r="19" spans="2:8">
      <c r="B19" s="11" t="s">
        <v>529</v>
      </c>
      <c r="C19" s="9" t="s">
        <v>530</v>
      </c>
      <c r="D19" s="12" t="s">
        <v>531</v>
      </c>
      <c r="E19" s="8">
        <v>0</v>
      </c>
      <c r="F19" s="11"/>
      <c r="G19" s="11"/>
      <c r="H19" t="str">
        <f t="shared" si="0"/>
        <v>INSERT INTO COMM_CONFIG(SYSTEM_KEY,SYSTEM_VALUE,SYSTEM_DESC,DEL_FLG,CRT_ID,CRT_TIME,UPD_ID,UPD_TIME,ACT_ID,ACT_TIME,VER) VALUES('wms.ftp.pwd','fuji123456','仓储物流系统FTP密码','0', 'admin', now(), 'admin', now(), 'admin', now(), 1);</v>
      </c>
    </row>
    <row r="20" spans="2:8">
      <c r="B20" s="11" t="s">
        <v>532</v>
      </c>
      <c r="C20" s="9">
        <v>2</v>
      </c>
      <c r="D20" s="12" t="s">
        <v>533</v>
      </c>
      <c r="E20" s="8">
        <v>0</v>
      </c>
      <c r="F20" s="11"/>
      <c r="G20" s="11"/>
      <c r="H20" t="str">
        <f t="shared" si="0"/>
        <v>INSERT INTO COMM_CONFIG(SYSTEM_KEY,SYSTEM_VALUE,SYSTEM_DESC,DEL_FLG,CRT_ID,CRT_TIME,UPD_ID,UPD_TIME,ACT_ID,ACT_TIME,VER) VALUES('supplier_dept_id','2','供应商的部门ID固定值设定','0', 'admin', now(), 'admin', now(), 'admin', now(), 1);</v>
      </c>
    </row>
    <row r="21" spans="2:8">
      <c r="B21" s="11" t="s">
        <v>534</v>
      </c>
      <c r="C21" s="9">
        <v>7</v>
      </c>
      <c r="D21" s="12" t="s">
        <v>535</v>
      </c>
      <c r="E21" s="8">
        <v>0</v>
      </c>
      <c r="F21" s="11"/>
      <c r="G21" s="11"/>
      <c r="H21" t="str">
        <f t="shared" si="0"/>
        <v>INSERT INTO COMM_CONFIG(SYSTEM_KEY,SYSTEM_VALUE,SYSTEM_DESC,DEL_FLG,CRT_ID,CRT_TIME,UPD_ID,UPD_TIME,ACT_ID,ACT_TIME,VER) VALUES('supplier_role_id','7','供应商的角色ID固定值设定','0', 'admin', now(), 'admin', now(), 'admin', now(), 1);</v>
      </c>
    </row>
    <row r="22" spans="2:8">
      <c r="B22" s="46" t="s">
        <v>536</v>
      </c>
      <c r="C22" s="47" t="s">
        <v>537</v>
      </c>
      <c r="D22" s="48" t="s">
        <v>538</v>
      </c>
      <c r="E22" s="46">
        <v>0</v>
      </c>
      <c r="F22" s="46"/>
      <c r="G22" s="46"/>
    </row>
    <row r="23" spans="2:8">
      <c r="B23" s="46" t="s">
        <v>539</v>
      </c>
      <c r="C23" s="47" t="s">
        <v>540</v>
      </c>
      <c r="D23" s="48" t="s">
        <v>538</v>
      </c>
      <c r="E23" s="46">
        <v>0</v>
      </c>
      <c r="F23" s="46"/>
      <c r="G23" s="46"/>
    </row>
    <row r="24" spans="2:8">
      <c r="B24" s="46" t="s">
        <v>541</v>
      </c>
      <c r="C24" s="47" t="s">
        <v>542</v>
      </c>
      <c r="D24" s="48" t="s">
        <v>543</v>
      </c>
      <c r="E24" s="46">
        <v>0</v>
      </c>
      <c r="F24" s="46"/>
      <c r="G24" s="46"/>
    </row>
    <row r="25" spans="2:8">
      <c r="B25" s="49" t="s">
        <v>544</v>
      </c>
      <c r="C25" s="50" t="s">
        <v>1403</v>
      </c>
      <c r="D25" s="12" t="s">
        <v>1384</v>
      </c>
      <c r="E25" s="49">
        <v>0</v>
      </c>
      <c r="F25" s="49"/>
      <c r="G25" s="49"/>
      <c r="H25" t="str">
        <f t="shared" si="0"/>
        <v>INSERT INTO COMM_CONFIG(SYSTEM_KEY,SYSTEM_VALUE,SYSTEM_DESC,DEL_FLG,CRT_ID,CRT_TIME,UPD_ID,UPD_TIME,ACT_ID,ACT_TIME,VER) VALUES('file.server.upload','http://t-file.xianchida.com/_upload','文件上传(外网地址)','0', 'admin', now(), 'admin', now(), 'admin', now(), 1);</v>
      </c>
    </row>
    <row r="26" spans="2:8">
      <c r="B26" s="49" t="s">
        <v>547</v>
      </c>
      <c r="C26" s="50" t="s">
        <v>548</v>
      </c>
      <c r="D26" s="58" t="s">
        <v>1385</v>
      </c>
      <c r="E26" s="49">
        <v>0</v>
      </c>
      <c r="F26" s="49"/>
      <c r="G26" s="49"/>
      <c r="H26" t="str">
        <f t="shared" si="0"/>
        <v>INSERT INTO COMM_CONFIG(SYSTEM_KEY,SYSTEM_VALUE,SYSTEM_DESC,DEL_FLG,CRT_ID,CRT_TIME,UPD_ID,UPD_TIME,ACT_ID,ACT_TIME,VER) VALUES('file.server','http://t-file.xianchida.com/_download','获得文件(外网地址)','0', 'admin', now(), 'admin', now(), 'admin', now(), 1);</v>
      </c>
    </row>
    <row r="27" spans="2:8">
      <c r="B27" s="82" t="s">
        <v>1375</v>
      </c>
      <c r="C27" s="84" t="s">
        <v>1401</v>
      </c>
      <c r="D27" s="83" t="s">
        <v>1386</v>
      </c>
      <c r="E27" s="82">
        <v>0</v>
      </c>
      <c r="F27" s="82"/>
      <c r="G27" s="82"/>
      <c r="H27" t="str">
        <f t="shared" si="0"/>
        <v>INSERT INTO COMM_CONFIG(SYSTEM_KEY,SYSTEM_VALUE,SYSTEM_DESC,DEL_FLG,CRT_ID,CRT_TIME,UPD_ID,UPD_TIME,ACT_ID,ACT_TIME,VER) VALUES('file.server.upload.inside','http://t-bms.xianchida.com/msk-file/file/_upload','文件上传(内网地址)','0', 'admin', now(), 'admin', now(), 'admin', now(), 1);</v>
      </c>
    </row>
    <row r="28" spans="2:8">
      <c r="B28" s="82" t="s">
        <v>1376</v>
      </c>
      <c r="C28" s="84" t="s">
        <v>1402</v>
      </c>
      <c r="D28" s="83" t="s">
        <v>1387</v>
      </c>
      <c r="E28" s="82">
        <v>0</v>
      </c>
      <c r="F28" s="82"/>
      <c r="G28" s="82"/>
      <c r="H28" t="str">
        <f t="shared" si="0"/>
        <v>INSERT INTO COMM_CONFIG(SYSTEM_KEY,SYSTEM_VALUE,SYSTEM_DESC,DEL_FLG,CRT_ID,CRT_TIME,UPD_ID,UPD_TIME,ACT_ID,ACT_TIME,VER) VALUES('file.server.download.inside','http://t-bms.xianchida.com/msk-file/_download','获得文件(内网地址)','0', 'admin', now(), 'admin', now(), 'admin', now(), 1);</v>
      </c>
    </row>
    <row r="29" spans="2:8">
      <c r="B29" s="49" t="s">
        <v>550</v>
      </c>
      <c r="C29" s="85" t="s">
        <v>1404</v>
      </c>
      <c r="D29" s="51" t="s">
        <v>552</v>
      </c>
      <c r="E29" s="49">
        <v>0</v>
      </c>
      <c r="F29" s="49" t="s">
        <v>553</v>
      </c>
      <c r="G29" s="51" t="s">
        <v>554</v>
      </c>
      <c r="H29" t="str">
        <f t="shared" si="0"/>
        <v>INSERT INTO COMM_CONFIG(SYSTEM_KEY,SYSTEM_VALUE,SYSTEM_DESC,DEL_FLG,CRT_ID,CRT_TIME,UPD_ID,UPD_TIME,ACT_ID,ACT_TIME,VER) VALUES('sso.url.outside','http://t-bms.xianchida.com/msk-sso-server','SSO站点外网地址','0', 'admin', now(), 'admin', now(), 'admin', now(), 1);</v>
      </c>
    </row>
    <row r="30" spans="2:8">
      <c r="B30" s="49" t="s">
        <v>555</v>
      </c>
      <c r="C30" s="50" t="s">
        <v>1404</v>
      </c>
      <c r="D30" s="51" t="s">
        <v>556</v>
      </c>
      <c r="E30" s="49">
        <v>0</v>
      </c>
      <c r="F30" s="49" t="s">
        <v>553</v>
      </c>
      <c r="G30" s="51" t="s">
        <v>557</v>
      </c>
      <c r="H30" t="str">
        <f t="shared" si="0"/>
        <v>INSERT INTO COMM_CONFIG(SYSTEM_KEY,SYSTEM_VALUE,SYSTEM_DESC,DEL_FLG,CRT_ID,CRT_TIME,UPD_ID,UPD_TIME,ACT_ID,ACT_TIME,VER) VALUES('sso.url.inside','http://t-bms.xianchida.com/msk-sso-server','SSO站点内网地址','0', 'admin', now(), 'admin', now(), 'admin', now(), 1);</v>
      </c>
    </row>
    <row r="31" spans="2:8">
      <c r="B31" s="49" t="s">
        <v>558</v>
      </c>
      <c r="C31" s="50"/>
      <c r="D31" s="51" t="s">
        <v>559</v>
      </c>
      <c r="E31" s="49">
        <v>0</v>
      </c>
      <c r="F31" s="49" t="s">
        <v>560</v>
      </c>
      <c r="G31" s="51"/>
      <c r="H31" t="str">
        <f t="shared" si="0"/>
        <v>INSERT INTO COMM_CONFIG(SYSTEM_KEY,SYSTEM_VALUE,SYSTEM_DESC,DEL_FLG,CRT_ID,CRT_TIME,UPD_ID,UPD_TIME,ACT_ID,ACT_TIME,VER) VALUES('http.proxyHost',NULL,'HTTP正向代理主机IP（没有代理时不要设）','0', 'admin', now(), 'admin', now(), 'admin', now(), 1);</v>
      </c>
    </row>
    <row r="32" spans="2:8">
      <c r="B32" s="49" t="s">
        <v>561</v>
      </c>
      <c r="C32" s="50"/>
      <c r="D32" s="51" t="s">
        <v>562</v>
      </c>
      <c r="E32" s="49">
        <v>0</v>
      </c>
      <c r="F32" s="49" t="s">
        <v>560</v>
      </c>
      <c r="G32" s="51"/>
      <c r="H32" t="str">
        <f t="shared" si="0"/>
        <v>INSERT INTO COMM_CONFIG(SYSTEM_KEY,SYSTEM_VALUE,SYSTEM_DESC,DEL_FLG,CRT_ID,CRT_TIME,UPD_ID,UPD_TIME,ACT_ID,ACT_TIME,VER) VALUES('http.proxyPort',NULL,'HTTP正向代理主机端口（没有代理时不要设）','0', 'admin', now(), 'admin', now(), 'admin', now(), 1);</v>
      </c>
    </row>
    <row r="33" spans="2:8">
      <c r="B33" s="49" t="s">
        <v>563</v>
      </c>
      <c r="C33" s="50" t="s">
        <v>644</v>
      </c>
      <c r="D33" s="51" t="s">
        <v>564</v>
      </c>
      <c r="E33" s="49">
        <v>0</v>
      </c>
      <c r="F33" s="49"/>
      <c r="G33" s="51" t="s">
        <v>554</v>
      </c>
      <c r="H33" t="str">
        <f t="shared" si="0"/>
        <v>INSERT INTO COMM_CONFIG(SYSTEM_KEY,SYSTEM_VALUE,SYSTEM_DESC,DEL_FLG,CRT_ID,CRT_TIME,UPD_ID,UPD_TIME,ACT_ID,ACT_TIME,VER) VALUES('web.server.url','http://localhost:8080/msk-web','后台系统站点地址','0', 'admin', now(), 'admin', now(), 'admin', now(), 1);</v>
      </c>
    </row>
    <row r="34" spans="2:8">
      <c r="B34" s="49" t="s">
        <v>565</v>
      </c>
      <c r="C34" s="50" t="s">
        <v>551</v>
      </c>
      <c r="D34" s="51" t="s">
        <v>566</v>
      </c>
      <c r="E34" s="49">
        <v>0</v>
      </c>
      <c r="F34" s="49" t="s">
        <v>567</v>
      </c>
      <c r="G34" s="51" t="s">
        <v>557</v>
      </c>
      <c r="H34" t="str">
        <f t="shared" si="0"/>
        <v>INSERT INTO COMM_CONFIG(SYSTEM_KEY,SYSTEM_VALUE,SYSTEM_DESC,DEL_FLG,CRT_ID,CRT_TIME,UPD_ID,UPD_TIME,ACT_ID,ACT_TIME,VER) VALUES('api.url.inside','http://localhost:8080/msk-web','后台系统内部接口内网地址','0', 'admin', now(), 'admin', now(), 'admin', now(), 1);</v>
      </c>
    </row>
    <row r="35" spans="2:8">
      <c r="B35" s="49" t="s">
        <v>607</v>
      </c>
      <c r="C35" s="50" t="s">
        <v>1405</v>
      </c>
      <c r="D35" s="51" t="s">
        <v>608</v>
      </c>
      <c r="E35" s="49">
        <v>0</v>
      </c>
      <c r="F35" s="49"/>
      <c r="G35" s="51"/>
      <c r="H35" t="str">
        <f t="shared" si="0"/>
        <v>INSERT INTO COMM_CONFIG(SYSTEM_KEY,SYSTEM_VALUE,SYSTEM_DESC,DEL_FLG,CRT_ID,CRT_TIME,UPD_ID,UPD_TIME,ACT_ID,ACT_TIME,VER) VALUES('api.url.searchPrice','http://t-bms.xianchida.com/msk-snk-price/api/sp/getPriceBox','查询箱价接口地址','0', 'admin', now(), 'admin', now(), 'admin', now(), 1);</v>
      </c>
    </row>
    <row r="36" spans="2:8">
      <c r="B36" s="49" t="s">
        <v>640</v>
      </c>
      <c r="C36" s="50" t="s">
        <v>647</v>
      </c>
      <c r="D36" s="51" t="s">
        <v>642</v>
      </c>
      <c r="E36" s="49">
        <v>0</v>
      </c>
      <c r="F36" s="49"/>
      <c r="G36" s="51" t="s">
        <v>646</v>
      </c>
      <c r="H36" t="str">
        <f t="shared" si="0"/>
        <v>INSERT INTO COMM_CONFIG(SYSTEM_KEY,SYSTEM_VALUE,SYSTEM_DESC,DEL_FLG,CRT_ID,CRT_TIME,UPD_ID,UPD_TIME,ACT_ID,ACT_TIME,VER) VALUES('api.url.searchPrintOrder','http://localhost:8080/msk-web/api/v1/so/detail/print','查询打印订单详细信息接口地址','0', 'admin', now(), 'admin', now(), 'admin', now(), 1);</v>
      </c>
    </row>
    <row r="37" spans="2:8">
      <c r="B37" s="49" t="s">
        <v>641</v>
      </c>
      <c r="C37" s="50" t="s">
        <v>1406</v>
      </c>
      <c r="D37" s="51" t="s">
        <v>643</v>
      </c>
      <c r="E37" s="49">
        <v>0</v>
      </c>
      <c r="F37" s="49"/>
      <c r="G37" s="51" t="s">
        <v>646</v>
      </c>
      <c r="H37" t="str">
        <f t="shared" si="0"/>
        <v>INSERT INTO COMM_CONFIG(SYSTEM_KEY,SYSTEM_VALUE,SYSTEM_DESC,DEL_FLG,CRT_ID,CRT_TIME,UPD_ID,UPD_TIME,ACT_ID,ACT_TIME,VER) VALUES('api.url.printOrder','http://t-bms.xianchida.com/msk-print/print/pdf/order/PDF000001','打印订单详细信息接口地址','0', 'admin', now(), 'admin', now(), 'admin', now(), 1);</v>
      </c>
    </row>
    <row r="38" spans="2:8">
      <c r="B38" s="49" t="s">
        <v>709</v>
      </c>
      <c r="C38" s="50" t="s">
        <v>712</v>
      </c>
      <c r="D38" s="51" t="s">
        <v>708</v>
      </c>
      <c r="E38" s="49">
        <v>0</v>
      </c>
      <c r="F38" s="49" t="s">
        <v>710</v>
      </c>
      <c r="G38" s="51" t="s">
        <v>711</v>
      </c>
      <c r="H38" t="str">
        <f t="shared" si="0"/>
        <v>INSERT INTO COMM_CONFIG(SYSTEM_KEY,SYSTEM_VALUE,SYSTEM_DESC,DEL_FLG,CRT_ID,CRT_TIME,UPD_ID,UPD_TIME,ACT_ID,ACT_TIME,VER) VALUES('temp.file.localpath','D:\xcdhome\temp','临时文件目录','0', 'admin', now(), 'admin', now(), 'admin', now(), 1);</v>
      </c>
    </row>
    <row r="39" spans="2:8">
      <c r="B39" s="49" t="s">
        <v>763</v>
      </c>
      <c r="C39" s="85" t="s">
        <v>1407</v>
      </c>
      <c r="D39" s="51" t="s">
        <v>766</v>
      </c>
      <c r="E39" s="49">
        <v>0</v>
      </c>
      <c r="F39" s="49" t="s">
        <v>768</v>
      </c>
      <c r="G39" s="51" t="s">
        <v>769</v>
      </c>
      <c r="H39" t="str">
        <f t="shared" si="0"/>
        <v>INSERT INTO COMM_CONFIG(SYSTEM_KEY,SYSTEM_VALUE,SYSTEM_DESC,DEL_FLG,CRT_ID,CRT_TIME,UPD_ID,UPD_TIME,ACT_ID,ACT_TIME,VER) VALUES('api.url.sellerCharging','http://t-bms.xianchida.com/msk-so-cp/api/cp/sellerCharging','卖家计费项接口地址','0', 'admin', now(), 'admin', now(), 'admin', now(), 1);</v>
      </c>
    </row>
    <row r="40" spans="2:8">
      <c r="B40" s="49" t="s">
        <v>764</v>
      </c>
      <c r="C40" s="50" t="s">
        <v>1408</v>
      </c>
      <c r="D40" s="51" t="s">
        <v>767</v>
      </c>
      <c r="E40" s="49">
        <v>0</v>
      </c>
      <c r="F40" s="49" t="s">
        <v>768</v>
      </c>
      <c r="G40" s="51" t="s">
        <v>769</v>
      </c>
      <c r="H40" t="str">
        <f t="shared" si="0"/>
        <v>INSERT INTO COMM_CONFIG(SYSTEM_KEY,SYSTEM_VALUE,SYSTEM_DESC,DEL_FLG,CRT_ID,CRT_TIME,UPD_ID,UPD_TIME,ACT_ID,ACT_TIME,VER) VALUES('api.url.transaction','http://t-bms.xianchida.com/msk-so-cp/api/cp/transaction','交易明细接口地址','0', 'admin', now(), 'admin', now(), 'admin', now(), 1);</v>
      </c>
    </row>
    <row r="41" spans="2:8">
      <c r="B41" s="49" t="s">
        <v>772</v>
      </c>
      <c r="C41" s="50" t="s">
        <v>1409</v>
      </c>
      <c r="D41" s="51" t="s">
        <v>775</v>
      </c>
      <c r="E41" s="49">
        <v>0</v>
      </c>
      <c r="F41" s="49" t="s">
        <v>774</v>
      </c>
      <c r="G41" s="51" t="s">
        <v>773</v>
      </c>
      <c r="H41" t="str">
        <f t="shared" si="0"/>
        <v>INSERT INTO COMM_CONFIG(SYSTEM_KEY,SYSTEM_VALUE,SYSTEM_DESC,DEL_FLG,CRT_ID,CRT_TIME,UPD_ID,UPD_TIME,ACT_ID,ACT_TIME,VER) VALUES('seller.server','http://t-bms.xianchida.com/msk-seller','卖家系统地址','0', 'admin', now(), 'admin', now(), 'admin', now(), 1);</v>
      </c>
    </row>
    <row r="42" spans="2:8">
      <c r="B42" s="49" t="s">
        <v>778</v>
      </c>
      <c r="C42" s="50" t="s">
        <v>1410</v>
      </c>
      <c r="D42" s="51" t="s">
        <v>780</v>
      </c>
      <c r="E42" s="49">
        <v>0</v>
      </c>
      <c r="F42" s="49" t="s">
        <v>781</v>
      </c>
      <c r="G42" s="51" t="s">
        <v>780</v>
      </c>
      <c r="H42" t="str">
        <f t="shared" si="0"/>
        <v>INSERT INTO COMM_CONFIG(SYSTEM_KEY,SYSTEM_VALUE,SYSTEM_DESC,DEL_FLG,CRT_ID,CRT_TIME,UPD_ID,UPD_TIME,ACT_ID,ACT_TIME,VER) VALUES('org.server','http://t-bms.xianchida.com/msk-org','org-server地址','0', 'admin', now(), 'admin', now(), 'admin', now(), 1);</v>
      </c>
    </row>
    <row r="43" spans="2:8">
      <c r="B43" s="49" t="s">
        <v>851</v>
      </c>
      <c r="C43" s="50" t="s">
        <v>1411</v>
      </c>
      <c r="D43" s="51" t="s">
        <v>853</v>
      </c>
      <c r="E43" s="49">
        <v>0</v>
      </c>
      <c r="F43" s="49" t="s">
        <v>854</v>
      </c>
      <c r="G43" s="51" t="s">
        <v>853</v>
      </c>
      <c r="H43" t="str">
        <f t="shared" si="0"/>
        <v>INSERT INTO COMM_CONFIG(SYSTEM_KEY,SYSTEM_VALUE,SYSTEM_DESC,DEL_FLG,CRT_ID,CRT_TIME,UPD_ID,UPD_TIME,ACT_ID,ACT_TIME,VER) VALUES('api.url.printDs','http://t-bms.xianchida.com/msk-print/print/pdf/ds/','打印发货入库单详细信息接口地址','0', 'admin', now(), 'admin', now(), 'admin', now(), 1);</v>
      </c>
    </row>
    <row r="44" spans="2:8">
      <c r="B44" s="49" t="s">
        <v>858</v>
      </c>
      <c r="C44" s="50" t="s">
        <v>1412</v>
      </c>
      <c r="D44" s="51" t="s">
        <v>860</v>
      </c>
      <c r="E44" s="49">
        <v>0</v>
      </c>
      <c r="F44" s="49" t="s">
        <v>854</v>
      </c>
      <c r="G44" s="51" t="s">
        <v>860</v>
      </c>
      <c r="H44" t="str">
        <f t="shared" si="0"/>
        <v>INSERT INTO COMM_CONFIG(SYSTEM_KEY,SYSTEM_VALUE,SYSTEM_DESC,DEL_FLG,CRT_ID,CRT_TIME,UPD_ID,UPD_TIME,ACT_ID,ACT_TIME,VER) VALUES('api.url.searchPrintDelivery','http://t-bms.xianchida.com/msk-web/api/v1/deliveryDetail/pdf/print','查询打印发货入库单详细信息接口地址','0', 'admin', now(), 'admin', now(), 'admin', now(), 1);</v>
      </c>
    </row>
    <row r="45" spans="2:8">
      <c r="B45" s="49" t="s">
        <v>869</v>
      </c>
      <c r="C45" s="50" t="s">
        <v>1413</v>
      </c>
      <c r="D45" s="51" t="s">
        <v>874</v>
      </c>
      <c r="E45" s="49">
        <v>0</v>
      </c>
      <c r="F45" s="49" t="s">
        <v>768</v>
      </c>
      <c r="G45" s="51" t="s">
        <v>873</v>
      </c>
      <c r="H45" t="str">
        <f t="shared" si="0"/>
        <v>INSERT INTO COMM_CONFIG(SYSTEM_KEY,SYSTEM_VALUE,SYSTEM_DESC,DEL_FLG,CRT_ID,CRT_TIME,UPD_ID,UPD_TIME,ACT_ID,ACT_TIME,VER) VALUES('api.url.getBuyerCode','http://t-bms.xianchida.com/msk-buyers/api/by/buyerCodeWithRingCode/query','查询(环标码)买家编码接口','0', 'admin', now(), 'admin', now(), 'admin', now(), 1);</v>
      </c>
    </row>
    <row r="46" spans="2:8">
      <c r="B46" s="49" t="s">
        <v>870</v>
      </c>
      <c r="C46" s="50" t="s">
        <v>1414</v>
      </c>
      <c r="D46" s="51" t="s">
        <v>876</v>
      </c>
      <c r="E46" s="49">
        <v>0</v>
      </c>
      <c r="F46" s="49" t="s">
        <v>941</v>
      </c>
      <c r="G46" s="51" t="s">
        <v>875</v>
      </c>
      <c r="H46" t="str">
        <f t="shared" si="0"/>
        <v>INSERT INTO COMM_CONFIG(SYSTEM_KEY,SYSTEM_VALUE,SYSTEM_DESC,DEL_FLG,CRT_ID,CRT_TIME,UPD_ID,UPD_TIME,ACT_ID,ACT_TIME,VER) VALUES('api.url.getBuyerId','http://t-bms.xianchida.com/msk-buyers/api/by/buyerId/queryByBuyerCode','通过买家编码查询买家ID','0', 'admin', now(), 'admin', now(), 'admin', now(), 1);</v>
      </c>
    </row>
    <row r="47" spans="2:8">
      <c r="B47" s="49" t="s">
        <v>899</v>
      </c>
      <c r="C47" s="50" t="s">
        <v>1415</v>
      </c>
      <c r="D47" s="51" t="s">
        <v>900</v>
      </c>
      <c r="E47" s="49">
        <v>0</v>
      </c>
      <c r="F47" s="49" t="s">
        <v>710</v>
      </c>
      <c r="G47" s="51" t="s">
        <v>901</v>
      </c>
      <c r="H47" t="str">
        <f t="shared" si="0"/>
        <v>INSERT INTO COMM_CONFIG(SYSTEM_KEY,SYSTEM_VALUE,SYSTEM_DESC,DEL_FLG,CRT_ID,CRT_TIME,UPD_ID,UPD_TIME,ACT_ID,ACT_TIME,VER) VALUES('favorites.url','http://t-bms.xianchida.com/msk-favorites','收藏夹地址','0', 'admin', now(), 'admin', now(), 'admin', now(), 1);</v>
      </c>
    </row>
    <row r="48" spans="2:8">
      <c r="B48" s="49" t="s">
        <v>906</v>
      </c>
      <c r="C48" s="63" t="s">
        <v>910</v>
      </c>
      <c r="D48" s="51" t="s">
        <v>907</v>
      </c>
      <c r="E48" s="49">
        <v>0</v>
      </c>
      <c r="F48" s="49" t="s">
        <v>710</v>
      </c>
      <c r="G48" s="51" t="s">
        <v>914</v>
      </c>
      <c r="H48" t="str">
        <f t="shared" si="0"/>
        <v>INSERT INTO COMM_CONFIG(SYSTEM_KEY,SYSTEM_VALUE,SYSTEM_DESC,DEL_FLG,CRT_ID,CRT_TIME,UPD_ID,UPD_TIME,ACT_ID,ACT_TIME,VER) VALUES('isCheckPasswordTimeSeries.flag','false','密码是否会过期开关','0', 'admin', now(), 'admin', now(), 'admin', now(), 1);</v>
      </c>
    </row>
    <row r="49" spans="2:8">
      <c r="B49" s="49" t="s">
        <v>908</v>
      </c>
      <c r="C49" s="63" t="s">
        <v>910</v>
      </c>
      <c r="D49" s="51" t="s">
        <v>912</v>
      </c>
      <c r="E49" s="49">
        <v>0</v>
      </c>
      <c r="F49" s="49" t="s">
        <v>710</v>
      </c>
      <c r="G49" s="51" t="s">
        <v>914</v>
      </c>
      <c r="H49" t="str">
        <f t="shared" si="0"/>
        <v>INSERT INTO COMM_CONFIG(SYSTEM_KEY,SYSTEM_VALUE,SYSTEM_DESC,DEL_FLG,CRT_ID,CRT_TIME,UPD_ID,UPD_TIME,ACT_ID,ACT_TIME,VER) VALUES('isForceModifyPassword.flag','false','是否强制修改密码','0', 'admin', now(), 'admin', now(), 'admin', now(), 1);</v>
      </c>
    </row>
    <row r="50" spans="2:8">
      <c r="B50" s="49" t="s">
        <v>909</v>
      </c>
      <c r="C50" s="63" t="s">
        <v>911</v>
      </c>
      <c r="D50" s="51" t="s">
        <v>913</v>
      </c>
      <c r="E50" s="49">
        <v>0</v>
      </c>
      <c r="F50" s="49" t="s">
        <v>710</v>
      </c>
      <c r="G50" s="51" t="s">
        <v>914</v>
      </c>
      <c r="H50" t="str">
        <f t="shared" si="0"/>
        <v>INSERT INTO COMM_CONFIG(SYSTEM_KEY,SYSTEM_VALUE,SYSTEM_DESC,DEL_FLG,CRT_ID,CRT_TIME,UPD_ID,UPD_TIME,ACT_ID,ACT_TIME,VER) VALUES('isInitPassword.flag','true','是否初始化密码开关','0', 'admin', now(), 'admin', now(), 'admin', now(), 1);</v>
      </c>
    </row>
    <row r="51" spans="2:8">
      <c r="B51" s="49" t="s">
        <v>938</v>
      </c>
      <c r="C51" s="50" t="s">
        <v>1416</v>
      </c>
      <c r="D51" s="51" t="s">
        <v>940</v>
      </c>
      <c r="E51" s="49">
        <v>0</v>
      </c>
      <c r="F51" s="49" t="s">
        <v>768</v>
      </c>
      <c r="G51" s="51" t="s">
        <v>940</v>
      </c>
      <c r="H51" t="str">
        <f t="shared" si="0"/>
        <v>INSERT INTO COMM_CONFIG(SYSTEM_KEY,SYSTEM_VALUE,SYSTEM_DESC,DEL_FLG,CRT_ID,CRT_TIME,UPD_ID,UPD_TIME,ACT_ID,ACT_TIME,VER) VALUES('api.url.getPriceWay','http://t-bms.xianchida.com/msk-snk-price/api/pd/getPriceWayList','获得价盘通道信息接口','0', 'admin', now(), 'admin', now(), 'admin', now(), 1);</v>
      </c>
    </row>
    <row r="52" spans="2:8">
      <c r="B52" s="82" t="s">
        <v>1440</v>
      </c>
      <c r="C52" s="87" t="s">
        <v>1441</v>
      </c>
      <c r="D52" s="83" t="s">
        <v>1442</v>
      </c>
      <c r="E52" s="82">
        <v>0</v>
      </c>
      <c r="F52" s="82" t="s">
        <v>1443</v>
      </c>
      <c r="G52" s="83" t="s">
        <v>1444</v>
      </c>
      <c r="H52" t="str">
        <f t="shared" si="0"/>
        <v>INSERT INTO COMM_CONFIG(SYSTEM_KEY,SYSTEM_VALUE,SYSTEM_DESC,DEL_FLG,CRT_ID,CRT_TIME,UPD_ID,UPD_TIME,ACT_ID,ACT_TIME,VER) VALUES('mail.from','redmine@dxl123.net','邮件发送人','0', 'admin', now(), 'admin', now(), 'admin', now(), 1);</v>
      </c>
    </row>
    <row r="53" spans="2:8">
      <c r="B53" s="82" t="s">
        <v>1445</v>
      </c>
      <c r="C53" s="87" t="s">
        <v>1446</v>
      </c>
      <c r="D53" s="83" t="s">
        <v>1447</v>
      </c>
      <c r="E53" s="82">
        <v>0</v>
      </c>
      <c r="F53" s="82" t="s">
        <v>1443</v>
      </c>
      <c r="G53" s="83" t="s">
        <v>1444</v>
      </c>
      <c r="H53" t="str">
        <f t="shared" si="0"/>
        <v>INSERT INTO COMM_CONFIG(SYSTEM_KEY,SYSTEM_VALUE,SYSTEM_DESC,DEL_FLG,CRT_ID,CRT_TIME,UPD_ID,UPD_TIME,ACT_ID,ACT_TIME,VER) VALUES('mail.host','smtp.dxl123.net','邮箱服务器','0', 'admin', now(), 'admin', now(), 'admin', now(), 1);</v>
      </c>
    </row>
    <row r="54" spans="2:8">
      <c r="B54" s="82" t="s">
        <v>1459</v>
      </c>
      <c r="C54" s="87" t="s">
        <v>1460</v>
      </c>
      <c r="D54" s="83" t="s">
        <v>1461</v>
      </c>
      <c r="E54" s="82">
        <v>0</v>
      </c>
      <c r="F54" s="82" t="s">
        <v>1443</v>
      </c>
      <c r="G54" s="83" t="s">
        <v>1444</v>
      </c>
      <c r="H54" t="str">
        <f t="shared" si="0"/>
        <v>INSERT INTO COMM_CONFIG(SYSTEM_KEY,SYSTEM_VALUE,SYSTEM_DESC,DEL_FLG,CRT_ID,CRT_TIME,UPD_ID,UPD_TIME,ACT_ID,ACT_TIME,VER) VALUES('mail.username','redmine@dxl123.net','邮箱登录名','0', 'admin', now(), 'admin', now(), 'admin', now(), 1);</v>
      </c>
    </row>
    <row r="55" spans="2:8">
      <c r="B55" s="82" t="s">
        <v>1448</v>
      </c>
      <c r="C55" s="87" t="s">
        <v>1449</v>
      </c>
      <c r="D55" s="83" t="s">
        <v>1450</v>
      </c>
      <c r="E55" s="82">
        <v>0</v>
      </c>
      <c r="F55" s="82" t="s">
        <v>1443</v>
      </c>
      <c r="G55" s="83" t="s">
        <v>1444</v>
      </c>
      <c r="H55" t="str">
        <f t="shared" si="0"/>
        <v>INSERT INTO COMM_CONFIG(SYSTEM_KEY,SYSTEM_VALUE,SYSTEM_DESC,DEL_FLG,CRT_ID,CRT_TIME,UPD_ID,UPD_TIME,ACT_ID,ACT_TIME,VER) VALUES('mail.password','XMGL999','邮箱登录名的密码','0', 'admin', now(), 'admin', now(), 'admin', now(), 1);</v>
      </c>
    </row>
    <row r="56" spans="2:8">
      <c r="B56" s="82" t="s">
        <v>1451</v>
      </c>
      <c r="C56" s="87">
        <v>465</v>
      </c>
      <c r="D56" s="83" t="s">
        <v>1452</v>
      </c>
      <c r="E56" s="82">
        <v>0</v>
      </c>
      <c r="F56" s="82" t="s">
        <v>1443</v>
      </c>
      <c r="G56" s="83" t="s">
        <v>1444</v>
      </c>
      <c r="H56" t="str">
        <f t="shared" si="0"/>
        <v>INSERT INTO COMM_CONFIG(SYSTEM_KEY,SYSTEM_VALUE,SYSTEM_DESC,DEL_FLG,CRT_ID,CRT_TIME,UPD_ID,UPD_TIME,ACT_ID,ACT_TIME,VER) VALUES('mail.port','465','邮箱服务器端口','0', 'admin', now(), 'admin', now(), 'admin', now(), 1);</v>
      </c>
    </row>
    <row r="57" spans="2:8">
      <c r="B57" s="82" t="s">
        <v>1453</v>
      </c>
      <c r="C57" s="87"/>
      <c r="D57" s="83" t="s">
        <v>1455</v>
      </c>
      <c r="E57" s="82">
        <v>0</v>
      </c>
      <c r="F57" s="82" t="s">
        <v>1443</v>
      </c>
      <c r="G57" s="83" t="s">
        <v>1444</v>
      </c>
      <c r="H57" t="str">
        <f t="shared" si="0"/>
        <v>INSERT INTO COMM_CONFIG(SYSTEM_KEY,SYSTEM_VALUE,SYSTEM_DESC,DEL_FLG,CRT_ID,CRT_TIME,UPD_ID,UPD_TIME,ACT_ID,ACT_TIME,VER) VALUES('mail.proxyHost',NULL,'代理服务器','0', 'admin', now(), 'admin', now(), 'admin', now(), 1);</v>
      </c>
    </row>
    <row r="58" spans="2:8">
      <c r="B58" s="82" t="s">
        <v>1454</v>
      </c>
      <c r="C58" s="87"/>
      <c r="D58" s="83" t="s">
        <v>1456</v>
      </c>
      <c r="E58" s="82">
        <v>0</v>
      </c>
      <c r="F58" s="82" t="s">
        <v>1443</v>
      </c>
      <c r="G58" s="83" t="s">
        <v>1444</v>
      </c>
      <c r="H58" t="str">
        <f t="shared" si="0"/>
        <v>INSERT INTO COMM_CONFIG(SYSTEM_KEY,SYSTEM_VALUE,SYSTEM_DESC,DEL_FLG,CRT_ID,CRT_TIME,UPD_ID,UPD_TIME,ACT_ID,ACT_TIME,VER) VALUES('mail.proxyPort',NULL,'代理服务器端口','0', 'admin', now(), 'admin', now(), 'admin', now(), 1);</v>
      </c>
    </row>
    <row r="59" spans="2:8">
      <c r="B59" s="82" t="s">
        <v>1457</v>
      </c>
      <c r="C59" s="87" t="s">
        <v>1462</v>
      </c>
      <c r="D59" s="83" t="s">
        <v>1463</v>
      </c>
      <c r="E59" s="82">
        <v>0</v>
      </c>
      <c r="F59" s="82" t="s">
        <v>1443</v>
      </c>
      <c r="G59" s="83" t="s">
        <v>1444</v>
      </c>
      <c r="H59" t="str">
        <f t="shared" si="0"/>
        <v>INSERT INTO COMM_CONFIG(SYSTEM_KEY,SYSTEM_VALUE,SYSTEM_DESC,DEL_FLG,CRT_ID,CRT_TIME,UPD_ID,UPD_TIME,ACT_ID,ACT_TIME,VER) VALUES('mail.sender','测试','邮箱发送人名称','0', 'admin', now(), 'admin', now(), 'admin', now(), 1);</v>
      </c>
    </row>
    <row r="60" spans="2:8">
      <c r="B60" s="82" t="s">
        <v>1458</v>
      </c>
      <c r="C60" s="87" t="b">
        <v>1</v>
      </c>
      <c r="D60" s="83" t="s">
        <v>1464</v>
      </c>
      <c r="E60" s="82">
        <v>0</v>
      </c>
      <c r="F60" s="82" t="s">
        <v>1443</v>
      </c>
      <c r="G60" s="83" t="s">
        <v>1444</v>
      </c>
      <c r="H60" t="str">
        <f t="shared" si="0"/>
        <v>INSERT INTO COMM_CONFIG(SYSTEM_KEY,SYSTEM_VALUE,SYSTEM_DESC,DEL_FLG,CRT_ID,CRT_TIME,UPD_ID,UPD_TIME,ACT_ID,ACT_TIME,VER) VALUES('mail.ssl','TRUE','是否启动ssl','0', 'admin', now(), 'admin', now(), 'admin', now(), 1);</v>
      </c>
    </row>
    <row r="61" spans="2:8">
      <c r="B61" s="13" t="s">
        <v>49</v>
      </c>
      <c r="C61" s="12"/>
      <c r="D61" s="12"/>
      <c r="E61" s="11"/>
      <c r="F61" s="11"/>
      <c r="G61" s="11"/>
    </row>
    <row r="62" spans="2:8">
      <c r="B62" s="11"/>
      <c r="C62" s="12"/>
      <c r="D62" s="12"/>
      <c r="E62" s="11"/>
      <c r="F62" s="11"/>
      <c r="G62" s="11"/>
    </row>
    <row r="63" spans="2:8">
      <c r="B63" s="11"/>
      <c r="C63" s="12"/>
      <c r="D63" s="12"/>
      <c r="E63" s="11"/>
      <c r="F63" s="11"/>
      <c r="G63" s="11"/>
    </row>
    <row r="64" spans="2:8">
      <c r="B64" s="11"/>
      <c r="C64" s="12"/>
      <c r="D64" s="12"/>
      <c r="E64" s="11"/>
      <c r="F64" s="11"/>
      <c r="G64" s="11"/>
    </row>
    <row r="65" spans="2:7">
      <c r="B65" s="11"/>
      <c r="C65" s="12"/>
      <c r="D65" s="12"/>
      <c r="E65" s="11"/>
      <c r="F65" s="11"/>
      <c r="G65" s="11"/>
    </row>
  </sheetData>
  <phoneticPr fontId="14" type="noConversion"/>
  <hyperlinks>
    <hyperlink ref="B12" r:id="rId1"/>
    <hyperlink ref="B13" r:id="rId2"/>
    <hyperlink ref="B14" r:id="rId3"/>
    <hyperlink ref="B16" r:id="rId4"/>
    <hyperlink ref="C39" r:id="rId5" display="http://10.20.16.152:8888/msk-so-cp/api/cp/sellerCharging"/>
    <hyperlink ref="C29" r:id="rId6" display="http://localhost:8080/msk-web"/>
    <hyperlink ref="C27" r:id="rId7" display="http://localhost:8080/msk-file/file/_upload"/>
    <hyperlink ref="C28" r:id="rId8" display="http://localhost:8081/_download"/>
  </hyperlinks>
  <pageMargins left="0.69930555555555596" right="0.69930555555555596" top="0.75" bottom="0.75" header="0.3" footer="0.3"/>
  <pageSetup paperSize="9" orientation="portrait" r:id="rId9"/>
  <legacyDrawing r:id="rId1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</vt:i4>
      </vt:variant>
    </vt:vector>
  </HeadingPairs>
  <TitlesOfParts>
    <vt:vector size="9" baseType="lpstr">
      <vt:lpstr>init</vt:lpstr>
      <vt:lpstr>常量定义表</vt:lpstr>
      <vt:lpstr>COMM_CONFIG(开发)</vt:lpstr>
      <vt:lpstr>COMM_CONFIG(测试)</vt:lpstr>
      <vt:lpstr>COMM_CONFIG(UAT)</vt:lpstr>
      <vt:lpstr>COMM_CONFIG(正式)</vt:lpstr>
      <vt:lpstr>Batch定义</vt:lpstr>
      <vt:lpstr>COMM_CONFIG(上海开发)</vt:lpstr>
      <vt:lpstr>常量定义表!Print_Area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mabo</cp:lastModifiedBy>
  <cp:lastPrinted>2016-05-31T10:29:00Z</cp:lastPrinted>
  <dcterms:created xsi:type="dcterms:W3CDTF">2016-04-27T10:22:00Z</dcterms:created>
  <dcterms:modified xsi:type="dcterms:W3CDTF">2017-04-10T03:09:09Z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3c3f9cb2-1dc7-4631-9341-f49c94b4067f</vt:lpwstr>
  </property>
  <property fmtid="{D5CDD505-2E9C-101B-9397-08002B2CF9AE}" pid="3" name="KSOProductBuildVer">
    <vt:lpwstr>2052-10.1.0.5603</vt:lpwstr>
  </property>
</Properties>
</file>